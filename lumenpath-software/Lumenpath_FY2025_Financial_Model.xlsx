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" sheetId="5" r:id="rId5"/>
    <sheet name="Ratios" sheetId="6" r:id="rId6"/>
    <sheet name="SaaS Metrics" sheetId="7" r:id="rId7"/>
    <sheet name="DCF" sheetId="8" r:id="rId8"/>
    <sheet name="Checks" sheetId="9" r:id="rId9"/>
  </sheets>
  <calcPr calcId="124519" fullCalcOnLoad="1"/>
</workbook>
</file>

<file path=xl/sharedStrings.xml><?xml version="1.0" encoding="utf-8"?>
<sst xmlns="http://schemas.openxmlformats.org/spreadsheetml/2006/main" count="245" uniqueCount="191">
  <si>
    <t>Lumenpath Software, Inc.</t>
  </si>
  <si>
    <t>Workflow software for midsize finance teams</t>
  </si>
  <si>
    <t>Fiscal years covered: FY2023, FY2024, FY2025</t>
  </si>
  <si>
    <t>Industry: Business software (software as a service)</t>
  </si>
  <si>
    <t>Role fit: FP&amp;A, Corporate finance, Revenue analysis</t>
  </si>
  <si>
    <t>Fictional company. All figures are illustrative and were built for this portfolio.</t>
  </si>
  <si>
    <t>Prepared by George Murad</t>
  </si>
  <si>
    <t>Contents</t>
  </si>
  <si>
    <t>Cover</t>
  </si>
  <si>
    <t>Assumptions</t>
  </si>
  <si>
    <t>Income Statement</t>
  </si>
  <si>
    <t>Balance Sheet</t>
  </si>
  <si>
    <t>Cash Flow</t>
  </si>
  <si>
    <t>Ratios</t>
  </si>
  <si>
    <t>SaaS Metrics</t>
  </si>
  <si>
    <t>DCF</t>
  </si>
  <si>
    <t>Checks</t>
  </si>
  <si>
    <t>Color legend</t>
  </si>
  <si>
    <t>Hardcoded input</t>
  </si>
  <si>
    <t>Formula, same sheet</t>
  </si>
  <si>
    <t>Formula, pulls from another sheet</t>
  </si>
  <si>
    <t>($ in thousands)</t>
  </si>
  <si>
    <t>FY2023</t>
  </si>
  <si>
    <t>FY2024</t>
  </si>
  <si>
    <t>FY2025</t>
  </si>
  <si>
    <t>Beginning ARR, FY2023</t>
  </si>
  <si>
    <t>New customer ARR</t>
  </si>
  <si>
    <t>Expansion ARR</t>
  </si>
  <si>
    <t>Contraction ARR</t>
  </si>
  <si>
    <t>Churned ARR</t>
  </si>
  <si>
    <t>Beginning customers, FY2023</t>
  </si>
  <si>
    <t>New customers</t>
  </si>
  <si>
    <t>Lost customers</t>
  </si>
  <si>
    <t>Cost of subscription, % of subscription revenue</t>
  </si>
  <si>
    <t>Cost of services, % of services revenue</t>
  </si>
  <si>
    <t>Professional services, % of subscription revenue</t>
  </si>
  <si>
    <t>Sales and marketing, % of total revenue</t>
  </si>
  <si>
    <t>Research and development, % of total revenue</t>
  </si>
  <si>
    <t>General and administrative, % of total revenue</t>
  </si>
  <si>
    <t>Stock based compensation, % of revenue</t>
  </si>
  <si>
    <t>Depreciation and amortization, % of revenue</t>
  </si>
  <si>
    <t>Capital expenditures, % of revenue</t>
  </si>
  <si>
    <t>Interest income rate on beginning cash</t>
  </si>
  <si>
    <t>Income tax expense, flat per year</t>
  </si>
  <si>
    <t>Accounts receivable days (DSO)</t>
  </si>
  <si>
    <t>Prepaid and other, % of revenue</t>
  </si>
  <si>
    <t>Accounts payable, % of cost of revenue plus opex</t>
  </si>
  <si>
    <t>Accrued expenses, % of operating expenses</t>
  </si>
  <si>
    <t>Deferred revenue, % of ending ARR</t>
  </si>
  <si>
    <t>Opening balance sheet FY2022: Cash</t>
  </si>
  <si>
    <t>Opening balance sheet FY2022: Accounts receivable</t>
  </si>
  <si>
    <t>Opening balance sheet FY2022: Prepaid and other</t>
  </si>
  <si>
    <t>Opening balance sheet FY2022: Property and capitalized software, net</t>
  </si>
  <si>
    <t>Opening balance sheet FY2022: Accounts payable</t>
  </si>
  <si>
    <t>Opening balance sheet FY2022: Accrued expenses</t>
  </si>
  <si>
    <t>Opening balance sheet FY2022: Deferred revenue</t>
  </si>
  <si>
    <t>Opening balance sheet FY2022: Common stock and paid in capital</t>
  </si>
  <si>
    <t>Opening balance sheet FY2022: Accumulated deficit</t>
  </si>
  <si>
    <t>($ in thousands)  For the years ended December 31</t>
  </si>
  <si>
    <t>Subscription</t>
  </si>
  <si>
    <t>Professional services</t>
  </si>
  <si>
    <t>Total revenue</t>
  </si>
  <si>
    <t>Cost of subscription</t>
  </si>
  <si>
    <t>Cost of services</t>
  </si>
  <si>
    <t>Gross profit</t>
  </si>
  <si>
    <t>Sales and marketing</t>
  </si>
  <si>
    <t>Research and development</t>
  </si>
  <si>
    <t>General and administrative</t>
  </si>
  <si>
    <t>Total operating expenses</t>
  </si>
  <si>
    <t>Operating income (loss)</t>
  </si>
  <si>
    <t>Interest income</t>
  </si>
  <si>
    <t>Income before taxes</t>
  </si>
  <si>
    <t>Income tax expense</t>
  </si>
  <si>
    <t>Net income (loss)</t>
  </si>
  <si>
    <t>Gross margin</t>
  </si>
  <si>
    <t>Operating margin</t>
  </si>
  <si>
    <t>Stock based compensation</t>
  </si>
  <si>
    <t>Depreciation and amortization</t>
  </si>
  <si>
    <t>Adjusted EBITDA</t>
  </si>
  <si>
    <t>($ in thousands)  As of December 31</t>
  </si>
  <si>
    <t>Assets</t>
  </si>
  <si>
    <t>Cash and cash equivalents</t>
  </si>
  <si>
    <t>Accounts receivable</t>
  </si>
  <si>
    <t>Prepaid and other</t>
  </si>
  <si>
    <t>Total current assets</t>
  </si>
  <si>
    <t>Property and capitalized software, net</t>
  </si>
  <si>
    <t>Total assets</t>
  </si>
  <si>
    <t>Liabilities</t>
  </si>
  <si>
    <t>Accounts payable</t>
  </si>
  <si>
    <t>Accrued expenses</t>
  </si>
  <si>
    <t>Deferred revenue</t>
  </si>
  <si>
    <t>Total liabilities</t>
  </si>
  <si>
    <t>Equity</t>
  </si>
  <si>
    <t>Common stock and paid in capital</t>
  </si>
  <si>
    <t>Accumulated deficit</t>
  </si>
  <si>
    <t>Total equity</t>
  </si>
  <si>
    <t>Total liabilities and equity</t>
  </si>
  <si>
    <t>Cash Flow Statement</t>
  </si>
  <si>
    <t>(Increase) decrease in accounts receivable</t>
  </si>
  <si>
    <t>(Increase) decrease in prepaid and other</t>
  </si>
  <si>
    <t>Increase (decrease) in accounts payable</t>
  </si>
  <si>
    <t>Increase (decrease) in accrued expenses</t>
  </si>
  <si>
    <t>Increase (decrease) in deferred revenue</t>
  </si>
  <si>
    <t>Cash from operating activities</t>
  </si>
  <si>
    <t>Capital expenditures</t>
  </si>
  <si>
    <t>Cash from investing activities</t>
  </si>
  <si>
    <t>Net change in cash</t>
  </si>
  <si>
    <t>Beginning cash</t>
  </si>
  <si>
    <t>Ending cash</t>
  </si>
  <si>
    <t>Adjusted EBITDA margin</t>
  </si>
  <si>
    <t>Net margin</t>
  </si>
  <si>
    <t>Revenue growth</t>
  </si>
  <si>
    <t>Current ratio</t>
  </si>
  <si>
    <t>Return on equity</t>
  </si>
  <si>
    <t>Days sales outstanding</t>
  </si>
  <si>
    <t>Free cash flow</t>
  </si>
  <si>
    <t>FCF margin</t>
  </si>
  <si>
    <t>n/a</t>
  </si>
  <si>
    <t>Recurring revenue and unit economics: ARR bridge</t>
  </si>
  <si>
    <t>Beginning ARR</t>
  </si>
  <si>
    <t>Ending ARR</t>
  </si>
  <si>
    <t>Net new ARR</t>
  </si>
  <si>
    <t>ARR growth</t>
  </si>
  <si>
    <t>Net revenue retention</t>
  </si>
  <si>
    <t>Gross revenue retention</t>
  </si>
  <si>
    <t>Customers</t>
  </si>
  <si>
    <t>Average ARR per customer</t>
  </si>
  <si>
    <t>Customer churn</t>
  </si>
  <si>
    <t>CAC payback, months</t>
  </si>
  <si>
    <t>Magic number</t>
  </si>
  <si>
    <t>Customer lifetime value</t>
  </si>
  <si>
    <t>Acquisition cost per new customer</t>
  </si>
  <si>
    <t>LTV to CAC</t>
  </si>
  <si>
    <t>Rule of 40</t>
  </si>
  <si>
    <t>Discounted cash flow valuation: forecast assumptions</t>
  </si>
  <si>
    <t>FY2026</t>
  </si>
  <si>
    <t>FY2027</t>
  </si>
  <si>
    <t>FY2028</t>
  </si>
  <si>
    <t>FY2029</t>
  </si>
  <si>
    <t>FY2030</t>
  </si>
  <si>
    <t>WACC</t>
  </si>
  <si>
    <t>Terminal growth</t>
  </si>
  <si>
    <t>Revenue</t>
  </si>
  <si>
    <t>Discount factor</t>
  </si>
  <si>
    <t>PV of free cash flow</t>
  </si>
  <si>
    <t>Value</t>
  </si>
  <si>
    <t>Sum of PV of free cash flow</t>
  </si>
  <si>
    <t>Terminal value</t>
  </si>
  <si>
    <t>PV of terminal value</t>
  </si>
  <si>
    <t>Enterprise value</t>
  </si>
  <si>
    <t>Equity value</t>
  </si>
  <si>
    <t>EV / FY2025 ending ARR</t>
  </si>
  <si>
    <t>Terminal value share of EV</t>
  </si>
  <si>
    <t>3.0%</t>
  </si>
  <si>
    <t>3.5%</t>
  </si>
  <si>
    <t>4.0%</t>
  </si>
  <si>
    <t>4.5%</t>
  </si>
  <si>
    <t>5.0%</t>
  </si>
  <si>
    <t>WACC 10.5%</t>
  </si>
  <si>
    <t>WACC 11.0%</t>
  </si>
  <si>
    <t>WACC 11.5%</t>
  </si>
  <si>
    <t>WACC 12.0%</t>
  </si>
  <si>
    <t>WACC 12.5%</t>
  </si>
  <si>
    <t>Overall status</t>
  </si>
  <si>
    <t>Check</t>
  </si>
  <si>
    <t>Difference</t>
  </si>
  <si>
    <t>Status</t>
  </si>
  <si>
    <t>Balance sheet balances, FY2023</t>
  </si>
  <si>
    <t>Balance sheet balances, FY2024</t>
  </si>
  <si>
    <t>Balance sheet balances, FY2025</t>
  </si>
  <si>
    <t>Cash flow ending cash = balance sheet cash, FY2023</t>
  </si>
  <si>
    <t>Cash flow ending cash = balance sheet cash, FY2024</t>
  </si>
  <si>
    <t>Cash flow ending cash = balance sheet cash, FY2025</t>
  </si>
  <si>
    <t>Net income ties, income statement to cash flow, FY2023</t>
  </si>
  <si>
    <t>Net income ties, income statement to cash flow, FY2024</t>
  </si>
  <si>
    <t>Net income ties, income statement to cash flow, FY2025</t>
  </si>
  <si>
    <t>Beginning cash equals prior year ending cash, FY2023</t>
  </si>
  <si>
    <t>Beginning cash equals prior year ending cash, FY2024</t>
  </si>
  <si>
    <t>Beginning cash equals prior year ending cash, FY2025</t>
  </si>
  <si>
    <t>Accumulated deficit rolls forward, FY2023</t>
  </si>
  <si>
    <t>Accumulated deficit rolls forward, FY2024</t>
  </si>
  <si>
    <t>Accumulated deficit rolls forward, FY2025</t>
  </si>
  <si>
    <t>Total revenue equals its components, FY2023</t>
  </si>
  <si>
    <t>Total revenue equals its components, FY2024</t>
  </si>
  <si>
    <t>Total revenue equals its components, FY2025</t>
  </si>
  <si>
    <t>Total current assets equal their components, FY2023</t>
  </si>
  <si>
    <t>Total current assets equal their components, FY2024</t>
  </si>
  <si>
    <t>Total current assets equal their components, FY2025</t>
  </si>
  <si>
    <t>Total liabilities equal their components, FY2023</t>
  </si>
  <si>
    <t>Total liabilities equal their components, FY2024</t>
  </si>
  <si>
    <t>Total liabilities equal their components, FY2025</t>
  </si>
</sst>
</file>

<file path=xl/styles.xml><?xml version="1.0" encoding="utf-8"?>
<styleSheet xmlns="http://schemas.openxmlformats.org/spreadsheetml/2006/main">
  <numFmts count="8">
    <numFmt numFmtId="164" formatCode="#,##0_);(#,##0);&quot;-&quot;_)"/>
    <numFmt numFmtId="165" formatCode="#,##0"/>
    <numFmt numFmtId="166" formatCode="0.0%"/>
    <numFmt numFmtId="167" formatCode="0.00%"/>
    <numFmt numFmtId="168" formatCode="0.0"/>
    <numFmt numFmtId="169" formatCode="0.0&quot;x&quot;"/>
    <numFmt numFmtId="170" formatCode="$0.00"/>
    <numFmt numFmtId="171" formatCode="0.00"/>
  </numFmts>
  <fonts count="14">
    <font>
      <sz val="11"/>
      <color theme="1"/>
      <name val="Calibri"/>
      <family val="2"/>
      <scheme val="minor"/>
    </font>
    <font>
      <b/>
      <sz val="16"/>
      <color rgb="FF141413"/>
      <name val="Arial"/>
      <family val="2"/>
    </font>
    <font>
      <sz val="10"/>
      <color rgb="FF141413"/>
      <name val="Georgia"/>
      <family val="2"/>
    </font>
    <font>
      <b/>
      <sz val="12"/>
      <color rgb="FF141413"/>
      <name val="Arial"/>
      <family val="2"/>
    </font>
    <font>
      <u/>
      <sz val="11"/>
      <color rgb="FF6A9BCC"/>
      <name val="Georgia"/>
      <family val="2"/>
    </font>
    <font>
      <sz val="10"/>
      <color rgb="FF0000FF"/>
      <name val="Georgia"/>
      <family val="2"/>
    </font>
    <font>
      <sz val="10"/>
      <color rgb="FF008000"/>
      <name val="Georgia"/>
      <family val="2"/>
    </font>
    <font>
      <i/>
      <sz val="9"/>
      <color rgb="FF141413"/>
      <name val="Georgia"/>
      <family val="2"/>
    </font>
    <font>
      <b/>
      <sz val="11"/>
      <color rgb="FFFAF9F5"/>
      <name val="Arial"/>
      <family val="2"/>
    </font>
    <font>
      <sz val="10"/>
      <color rgb="FF141413"/>
      <name val="Georgia"/>
      <family val="2"/>
    </font>
    <font>
      <sz val="10"/>
      <color rgb="FF008000"/>
      <name val="Georgia"/>
      <family val="2"/>
    </font>
    <font>
      <b/>
      <sz val="10"/>
      <color rgb="FF141413"/>
      <name val="Georgia"/>
      <family val="2"/>
    </font>
    <font>
      <b/>
      <sz val="10"/>
      <color rgb="FF000000"/>
      <name val="Georgia"/>
      <family val="2"/>
    </font>
    <font>
      <sz val="10"/>
      <color rgb="FF000000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141413"/>
        <bgColor indexed="64"/>
      </patternFill>
    </fill>
  </fills>
  <borders count="3">
    <border>
      <left/>
      <right/>
      <top/>
      <bottom/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thin">
        <color rgb="FFB0AEA5"/>
      </bottom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double">
        <color rgb="FFB0AEA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8" fontId="5" fillId="0" borderId="1" xfId="0" applyNumberFormat="1" applyFont="1" applyBorder="1"/>
    <xf numFmtId="164" fontId="10" fillId="0" borderId="1" xfId="0" applyNumberFormat="1" applyFont="1" applyBorder="1"/>
    <xf numFmtId="0" fontId="11" fillId="0" borderId="1" xfId="0" applyFont="1" applyBorder="1"/>
    <xf numFmtId="164" fontId="12" fillId="0" borderId="1" xfId="0" applyNumberFormat="1" applyFont="1" applyBorder="1"/>
    <xf numFmtId="0" fontId="11" fillId="0" borderId="2" xfId="0" applyFont="1" applyBorder="1"/>
    <xf numFmtId="164" fontId="12" fillId="0" borderId="2" xfId="0" applyNumberFormat="1" applyFont="1" applyBorder="1"/>
    <xf numFmtId="0" fontId="9" fillId="0" borderId="1" xfId="0" applyFont="1" applyBorder="1" applyAlignment="1">
      <alignment horizontal="left" indent="1"/>
    </xf>
    <xf numFmtId="166" fontId="13" fillId="0" borderId="1" xfId="0" applyNumberFormat="1" applyFont="1" applyBorder="1" applyAlignment="1">
      <alignment horizontal="left" indent="1"/>
    </xf>
    <xf numFmtId="164" fontId="10" fillId="0" borderId="1" xfId="0" applyNumberFormat="1" applyFont="1" applyBorder="1" applyAlignment="1">
      <alignment horizontal="left" indent="1"/>
    </xf>
    <xf numFmtId="164" fontId="13" fillId="0" borderId="1" xfId="0" applyNumberFormat="1" applyFont="1" applyBorder="1" applyAlignment="1">
      <alignment horizontal="left" indent="1"/>
    </xf>
    <xf numFmtId="0" fontId="11" fillId="0" borderId="1" xfId="0" applyFont="1" applyBorder="1" applyAlignment="1">
      <alignment horizontal="left" indent="1"/>
    </xf>
    <xf numFmtId="164" fontId="12" fillId="0" borderId="1" xfId="0" applyNumberFormat="1" applyFont="1" applyBorder="1" applyAlignment="1">
      <alignment horizontal="left" indent="1"/>
    </xf>
    <xf numFmtId="166" fontId="10" fillId="0" borderId="1" xfId="0" applyNumberFormat="1" applyFont="1" applyBorder="1"/>
    <xf numFmtId="169" fontId="10" fillId="0" borderId="1" xfId="0" applyNumberFormat="1" applyFont="1" applyBorder="1"/>
    <xf numFmtId="168" fontId="10" fillId="0" borderId="1" xfId="0" applyNumberFormat="1" applyFont="1" applyBorder="1"/>
    <xf numFmtId="164" fontId="13" fillId="0" borderId="1" xfId="0" applyNumberFormat="1" applyFont="1" applyBorder="1"/>
    <xf numFmtId="165" fontId="10" fillId="0" borderId="1" xfId="0" applyNumberFormat="1" applyFont="1" applyBorder="1"/>
    <xf numFmtId="170" fontId="13" fillId="0" borderId="1" xfId="0" applyNumberFormat="1" applyFont="1" applyBorder="1"/>
    <xf numFmtId="170" fontId="10" fillId="0" borderId="1" xfId="0" applyNumberFormat="1" applyFont="1" applyBorder="1"/>
    <xf numFmtId="169" fontId="13" fillId="0" borderId="1" xfId="0" applyNumberFormat="1" applyFont="1" applyBorder="1"/>
    <xf numFmtId="171" fontId="10" fillId="0" borderId="1" xfId="0" applyNumberFormat="1" applyFont="1" applyBorder="1"/>
    <xf numFmtId="166" fontId="1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28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2" spans="1:1">
      <c r="A2" s="1" t="s">
        <v>0</v>
      </c>
    </row>
    <row r="4" spans="1:1">
      <c r="A4" s="2" t="s">
        <v>1</v>
      </c>
    </row>
    <row r="6" spans="1:1">
      <c r="A6" s="2" t="s">
        <v>2</v>
      </c>
    </row>
    <row r="8" spans="1:1">
      <c r="A8" s="2" t="s">
        <v>3</v>
      </c>
    </row>
    <row r="9" spans="1:1">
      <c r="A9" s="2" t="s">
        <v>4</v>
      </c>
    </row>
    <row r="11" spans="1:1">
      <c r="A11" s="2" t="s">
        <v>5</v>
      </c>
    </row>
    <row r="12" spans="1:1">
      <c r="A12" s="2" t="s">
        <v>6</v>
      </c>
    </row>
    <row r="14" spans="1:1">
      <c r="A14" s="3" t="s">
        <v>7</v>
      </c>
    </row>
    <row r="15" spans="1:1">
      <c r="A15" s="4" t="s">
        <v>8</v>
      </c>
    </row>
    <row r="16" spans="1:1">
      <c r="A16" s="4" t="s">
        <v>9</v>
      </c>
    </row>
    <row r="17" spans="1:1">
      <c r="A17" s="4" t="s">
        <v>10</v>
      </c>
    </row>
    <row r="18" spans="1:1">
      <c r="A18" s="4" t="s">
        <v>11</v>
      </c>
    </row>
    <row r="19" spans="1:1">
      <c r="A19" s="4" t="s">
        <v>12</v>
      </c>
    </row>
    <row r="20" spans="1:1">
      <c r="A20" s="4" t="s">
        <v>13</v>
      </c>
    </row>
    <row r="21" spans="1:1">
      <c r="A21" s="4" t="s">
        <v>14</v>
      </c>
    </row>
    <row r="22" spans="1:1">
      <c r="A22" s="4" t="s">
        <v>15</v>
      </c>
    </row>
    <row r="23" spans="1:1">
      <c r="A23" s="4" t="s">
        <v>16</v>
      </c>
    </row>
    <row r="25" spans="1:1">
      <c r="A25" s="3" t="s">
        <v>17</v>
      </c>
    </row>
    <row r="26" spans="1:1">
      <c r="A26" s="5" t="s">
        <v>18</v>
      </c>
    </row>
    <row r="27" spans="1:1">
      <c r="A27" s="2" t="s">
        <v>19</v>
      </c>
    </row>
    <row r="28" spans="1:1">
      <c r="A28" s="6" t="s">
        <v>20</v>
      </c>
    </row>
  </sheetData>
  <hyperlinks>
    <hyperlink ref="A15" location="'Cover'!A1" display="Cover"/>
    <hyperlink ref="A16" location="'Assumptions'!A1" display="Assumptions"/>
    <hyperlink ref="A17" location="'Income Statement'!A1" display="Income Statement"/>
    <hyperlink ref="A18" location="'Balance Sheet'!A1" display="Balance Sheet"/>
    <hyperlink ref="A19" location="'Cash Flow'!A1" display="Cash Flow"/>
    <hyperlink ref="A20" location="'Ratios'!A1" display="Ratios"/>
    <hyperlink ref="A21" location="'SaaS Metrics'!A1" display="SaaS Metrics"/>
    <hyperlink ref="A22" location="'DCF'!A1" display="DCF"/>
    <hyperlink ref="A23" location="'Checks'!A1" display="Check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9</v>
      </c>
    </row>
    <row r="3" spans="1:4">
      <c r="A3" s="7" t="s">
        <v>21</v>
      </c>
    </row>
    <row r="5" spans="1:4">
      <c r="A5" s="8"/>
      <c r="B5" s="8" t="s">
        <v>22</v>
      </c>
      <c r="C5" s="8" t="s">
        <v>23</v>
      </c>
      <c r="D5" s="8" t="s">
        <v>24</v>
      </c>
    </row>
    <row r="6" spans="1:4">
      <c r="A6" s="9" t="s">
        <v>25</v>
      </c>
      <c r="B6" s="10">
        <v>38000</v>
      </c>
    </row>
    <row r="7" spans="1:4">
      <c r="A7" s="9" t="s">
        <v>26</v>
      </c>
      <c r="B7" s="10">
        <v>12500</v>
      </c>
      <c r="C7" s="10">
        <v>15200</v>
      </c>
      <c r="D7" s="10">
        <v>16900</v>
      </c>
    </row>
    <row r="8" spans="1:4">
      <c r="A8" s="9" t="s">
        <v>27</v>
      </c>
      <c r="B8" s="10">
        <v>6800</v>
      </c>
      <c r="C8" s="10">
        <v>9100</v>
      </c>
      <c r="D8" s="10">
        <v>11800</v>
      </c>
    </row>
    <row r="9" spans="1:4">
      <c r="A9" s="9" t="s">
        <v>28</v>
      </c>
      <c r="B9" s="10">
        <v>1900</v>
      </c>
      <c r="C9" s="10">
        <v>2400</v>
      </c>
      <c r="D9" s="10">
        <v>2900</v>
      </c>
    </row>
    <row r="10" spans="1:4">
      <c r="A10" s="9" t="s">
        <v>29</v>
      </c>
      <c r="B10" s="10">
        <v>3400</v>
      </c>
      <c r="C10" s="10">
        <v>4300</v>
      </c>
      <c r="D10" s="10">
        <v>5200</v>
      </c>
    </row>
    <row r="11" spans="1:4">
      <c r="A11" s="9" t="s">
        <v>30</v>
      </c>
      <c r="B11" s="11">
        <v>830</v>
      </c>
    </row>
    <row r="12" spans="1:4">
      <c r="A12" s="9" t="s">
        <v>31</v>
      </c>
      <c r="B12" s="11">
        <v>380</v>
      </c>
      <c r="C12" s="11">
        <v>420</v>
      </c>
      <c r="D12" s="11">
        <v>440</v>
      </c>
    </row>
    <row r="13" spans="1:4">
      <c r="A13" s="9" t="s">
        <v>32</v>
      </c>
      <c r="B13" s="11">
        <v>170</v>
      </c>
      <c r="C13" s="11">
        <v>150</v>
      </c>
      <c r="D13" s="11">
        <v>160</v>
      </c>
    </row>
    <row r="14" spans="1:4">
      <c r="A14" s="9" t="s">
        <v>33</v>
      </c>
      <c r="B14" s="12">
        <v>0.18</v>
      </c>
    </row>
    <row r="15" spans="1:4">
      <c r="A15" s="9" t="s">
        <v>34</v>
      </c>
      <c r="B15" s="12">
        <v>0.85</v>
      </c>
    </row>
    <row r="16" spans="1:4">
      <c r="A16" s="9" t="s">
        <v>35</v>
      </c>
      <c r="B16" s="12">
        <v>0.08</v>
      </c>
    </row>
    <row r="17" spans="1:4">
      <c r="A17" s="9" t="s">
        <v>36</v>
      </c>
      <c r="B17" s="12">
        <v>0.52</v>
      </c>
      <c r="C17" s="12">
        <v>0.47</v>
      </c>
      <c r="D17" s="12">
        <v>0.43</v>
      </c>
    </row>
    <row r="18" spans="1:4">
      <c r="A18" s="9" t="s">
        <v>37</v>
      </c>
      <c r="B18" s="12">
        <v>0.28</v>
      </c>
      <c r="C18" s="12">
        <v>0.26</v>
      </c>
      <c r="D18" s="12">
        <v>0.24</v>
      </c>
    </row>
    <row r="19" spans="1:4">
      <c r="A19" s="9" t="s">
        <v>38</v>
      </c>
      <c r="B19" s="12">
        <v>0.16</v>
      </c>
      <c r="C19" s="12">
        <v>0.14</v>
      </c>
      <c r="D19" s="12">
        <v>0.12</v>
      </c>
    </row>
    <row r="20" spans="1:4">
      <c r="A20" s="9" t="s">
        <v>39</v>
      </c>
      <c r="B20" s="12">
        <v>0.06</v>
      </c>
    </row>
    <row r="21" spans="1:4">
      <c r="A21" s="9" t="s">
        <v>40</v>
      </c>
      <c r="B21" s="12">
        <v>0.022</v>
      </c>
    </row>
    <row r="22" spans="1:4">
      <c r="A22" s="9" t="s">
        <v>41</v>
      </c>
      <c r="B22" s="12">
        <v>0.025</v>
      </c>
    </row>
    <row r="23" spans="1:4">
      <c r="A23" s="9" t="s">
        <v>42</v>
      </c>
      <c r="B23" s="13">
        <v>0.03</v>
      </c>
    </row>
    <row r="24" spans="1:4">
      <c r="A24" s="9" t="s">
        <v>43</v>
      </c>
      <c r="B24" s="10">
        <v>150</v>
      </c>
    </row>
    <row r="25" spans="1:4">
      <c r="A25" s="9" t="s">
        <v>44</v>
      </c>
      <c r="B25" s="14">
        <v>62</v>
      </c>
      <c r="C25" s="14">
        <v>60</v>
      </c>
      <c r="D25" s="14">
        <v>58</v>
      </c>
    </row>
    <row r="26" spans="1:4">
      <c r="A26" s="9" t="s">
        <v>45</v>
      </c>
      <c r="B26" s="12">
        <v>0.04</v>
      </c>
    </row>
    <row r="27" spans="1:4">
      <c r="A27" s="9" t="s">
        <v>46</v>
      </c>
      <c r="B27" s="12">
        <v>0.035</v>
      </c>
    </row>
    <row r="28" spans="1:4">
      <c r="A28" s="9" t="s">
        <v>47</v>
      </c>
      <c r="B28" s="12">
        <v>0.11</v>
      </c>
    </row>
    <row r="29" spans="1:4">
      <c r="A29" s="9" t="s">
        <v>48</v>
      </c>
      <c r="B29" s="12">
        <v>0.45</v>
      </c>
    </row>
    <row r="30" spans="1:4">
      <c r="A30" s="9" t="s">
        <v>49</v>
      </c>
      <c r="B30" s="10">
        <v>62000</v>
      </c>
    </row>
    <row r="31" spans="1:4">
      <c r="A31" s="9" t="s">
        <v>50</v>
      </c>
      <c r="B31" s="10">
        <v>9800</v>
      </c>
    </row>
    <row r="32" spans="1:4">
      <c r="A32" s="9" t="s">
        <v>51</v>
      </c>
      <c r="B32" s="10">
        <v>2100</v>
      </c>
    </row>
    <row r="33" spans="1:2">
      <c r="A33" s="9" t="s">
        <v>52</v>
      </c>
      <c r="B33" s="10">
        <v>5500</v>
      </c>
    </row>
    <row r="34" spans="1:2">
      <c r="A34" s="9" t="s">
        <v>53</v>
      </c>
      <c r="B34" s="10">
        <v>2300</v>
      </c>
    </row>
    <row r="35" spans="1:2">
      <c r="A35" s="9" t="s">
        <v>54</v>
      </c>
      <c r="B35" s="10">
        <v>6900</v>
      </c>
    </row>
    <row r="36" spans="1:2">
      <c r="A36" s="9" t="s">
        <v>55</v>
      </c>
      <c r="B36" s="10">
        <v>17000</v>
      </c>
    </row>
    <row r="37" spans="1:2">
      <c r="A37" s="9" t="s">
        <v>56</v>
      </c>
      <c r="B37" s="10">
        <v>145000</v>
      </c>
    </row>
    <row r="38" spans="1:2">
      <c r="A38" s="9" t="s">
        <v>57</v>
      </c>
      <c r="B38" s="10">
        <v>-91800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10</v>
      </c>
    </row>
    <row r="3" spans="1:4">
      <c r="A3" s="7" t="s">
        <v>58</v>
      </c>
    </row>
    <row r="5" spans="1:4">
      <c r="A5" s="8"/>
      <c r="B5" s="8" t="s">
        <v>22</v>
      </c>
      <c r="C5" s="8" t="s">
        <v>23</v>
      </c>
      <c r="D5" s="8" t="s">
        <v>24</v>
      </c>
    </row>
    <row r="6" spans="1:4">
      <c r="A6" s="9" t="s">
        <v>59</v>
      </c>
      <c r="B6" s="15">
        <f>(('Assumptions'!B6+(((('Assumptions'!B6+'Assumptions'!B7)+'Assumptions'!B8)-'Assumptions'!B9)-'Assumptions'!B10))/2)</f>
        <v>45000.0</v>
      </c>
      <c r="C6" s="15">
        <f>(((((('Assumptions'!B6+'Assumptions'!B7)+'Assumptions'!B8)-'Assumptions'!B9)-'Assumptions'!B10)+(((((((('Assumptions'!B6+'Assumptions'!B7)+'Assumptions'!B8)-'Assumptions'!B9)-'Assumptions'!B10)+'Assumptions'!C7)+'Assumptions'!C8)-'Assumptions'!C9)-'Assumptions'!C10))/2)</f>
        <v>60800.0</v>
      </c>
      <c r="D6" s="15">
        <f>(((((((((('Assumptions'!B6+'Assumptions'!B7)+'Assumptions'!B8)-'Assumptions'!B9)-'Assumptions'!B10)+'Assumptions'!C7)+'Assumptions'!C8)-'Assumptions'!C9)-'Assumptions'!C10)+(((((((((((('Assumptions'!B6+'Assumptions'!B7)+'Assumptions'!B8)-'Assumptions'!B9)-'Assumptions'!B10)+'Assumptions'!C7)+'Assumptions'!C8)-'Assumptions'!C9)-'Assumptions'!C10)+'Assumptions'!D7)+'Assumptions'!D8)-'Assumptions'!D9)-'Assumptions'!D10))/2)</f>
        <v>79900.0</v>
      </c>
    </row>
    <row r="7" spans="1:4">
      <c r="A7" s="9" t="s">
        <v>60</v>
      </c>
      <c r="B7" s="15">
        <f>(B6*'Assumptions'!B16)</f>
        <v>3600.0</v>
      </c>
      <c r="C7" s="15">
        <f>(C6*'Assumptions'!B16)</f>
        <v>4864.0</v>
      </c>
      <c r="D7" s="15">
        <f>(D6*'Assumptions'!B16)</f>
        <v>6392.0</v>
      </c>
    </row>
    <row r="8" spans="1:4">
      <c r="A8" s="16" t="s">
        <v>61</v>
      </c>
      <c r="B8" s="17">
        <f>(B6+B7)</f>
        <v>48600.0</v>
      </c>
      <c r="C8" s="17">
        <f>(C6+C7)</f>
        <v>65664.0</v>
      </c>
      <c r="D8" s="17">
        <f>(D6+D7)</f>
        <v>86292.0</v>
      </c>
    </row>
    <row r="9" spans="1:4">
      <c r="A9" s="9" t="s">
        <v>62</v>
      </c>
      <c r="B9" s="15">
        <f>(B6*'Assumptions'!B14)</f>
        <v>8100.0</v>
      </c>
      <c r="C9" s="15">
        <f>(C6*'Assumptions'!B14)</f>
        <v>10944.0</v>
      </c>
      <c r="D9" s="15">
        <f>(D6*'Assumptions'!B14)</f>
        <v>14382.0</v>
      </c>
    </row>
    <row r="10" spans="1:4">
      <c r="A10" s="9" t="s">
        <v>63</v>
      </c>
      <c r="B10" s="15">
        <f>(B7*'Assumptions'!B15)</f>
        <v>3060.0</v>
      </c>
      <c r="C10" s="15">
        <f>(C7*'Assumptions'!B15)</f>
        <v>4134.4</v>
      </c>
      <c r="D10" s="15">
        <f>(D7*'Assumptions'!B15)</f>
        <v>5433.2</v>
      </c>
    </row>
    <row r="11" spans="1:4">
      <c r="A11" s="16" t="s">
        <v>64</v>
      </c>
      <c r="B11" s="17">
        <f>((B8-B9)-B10)</f>
        <v>37440.0</v>
      </c>
      <c r="C11" s="17">
        <f>((C8-C9)-C10)</f>
        <v>50585.6</v>
      </c>
      <c r="D11" s="17">
        <f>((D8-D9)-D10)</f>
        <v>66476.8</v>
      </c>
    </row>
    <row r="12" spans="1:4">
      <c r="A12" s="9" t="s">
        <v>65</v>
      </c>
      <c r="B12" s="15">
        <f>(B8*'Assumptions'!B17)</f>
        <v>25272.0</v>
      </c>
      <c r="C12" s="15">
        <f>(C8*'Assumptions'!C17)</f>
        <v>30862.079999999998</v>
      </c>
      <c r="D12" s="15">
        <f>(D8*'Assumptions'!D17)</f>
        <v>37105.56</v>
      </c>
    </row>
    <row r="13" spans="1:4">
      <c r="A13" s="9" t="s">
        <v>66</v>
      </c>
      <c r="B13" s="15">
        <f>(B8*'Assumptions'!B18)</f>
        <v>13608.000000000002</v>
      </c>
      <c r="C13" s="15">
        <f>(C8*'Assumptions'!C18)</f>
        <v>17072.64</v>
      </c>
      <c r="D13" s="15">
        <f>(D8*'Assumptions'!D18)</f>
        <v>20710.079999999998</v>
      </c>
    </row>
    <row r="14" spans="1:4">
      <c r="A14" s="9" t="s">
        <v>67</v>
      </c>
      <c r="B14" s="15">
        <f>(B8*'Assumptions'!B19)</f>
        <v>7776.0</v>
      </c>
      <c r="C14" s="15">
        <f>(C8*'Assumptions'!C19)</f>
        <v>9192.960000000001</v>
      </c>
      <c r="D14" s="15">
        <f>(D8*'Assumptions'!D19)</f>
        <v>10355.039999999999</v>
      </c>
    </row>
    <row r="15" spans="1:4">
      <c r="A15" s="16" t="s">
        <v>68</v>
      </c>
      <c r="B15" s="17">
        <f>((B12+B13)+B14)</f>
        <v>46656.0</v>
      </c>
      <c r="C15" s="17">
        <f>((C12+C13)+C14)</f>
        <v>57127.68</v>
      </c>
      <c r="D15" s="17">
        <f>((D12+D13)+D14)</f>
        <v>68170.68</v>
      </c>
    </row>
    <row r="16" spans="1:4">
      <c r="A16" s="16" t="s">
        <v>69</v>
      </c>
      <c r="B16" s="17">
        <f>(B11-B15)</f>
        <v>-9216.0</v>
      </c>
      <c r="C16" s="17">
        <f>(C11-C15)</f>
        <v>-6542.080000000002</v>
      </c>
      <c r="D16" s="17">
        <f>(D11-D15)</f>
        <v>-1693.87999999999</v>
      </c>
    </row>
    <row r="17" spans="1:4">
      <c r="A17" s="9" t="s">
        <v>70</v>
      </c>
      <c r="B17" s="15">
        <f>('Assumptions'!B30*'Assumptions'!B23)</f>
        <v>1860.0</v>
      </c>
      <c r="C17" s="15">
        <f>('Balance Sheet'!B7*'Assumptions'!B23)</f>
        <v>1899.6173260273972</v>
      </c>
      <c r="D17" s="15">
        <f>('Balance Sheet'!C7*'Assumptions'!B23)</f>
        <v>2058.756022027397</v>
      </c>
    </row>
    <row r="18" spans="1:4">
      <c r="A18" s="16" t="s">
        <v>71</v>
      </c>
      <c r="B18" s="17">
        <f>(B16+B17)</f>
        <v>-7356.0</v>
      </c>
      <c r="C18" s="17">
        <f>(C16+C17)</f>
        <v>-4642.4626739726045</v>
      </c>
      <c r="D18" s="17">
        <f>(D16+D17)</f>
        <v>364.8760220274071</v>
      </c>
    </row>
    <row r="19" spans="1:4">
      <c r="A19" s="9" t="s">
        <v>72</v>
      </c>
      <c r="B19" s="15">
        <f>'Assumptions'!B24</f>
        <v>150.0</v>
      </c>
      <c r="C19" s="15">
        <f>'Assumptions'!B24</f>
        <v>150.0</v>
      </c>
      <c r="D19" s="15">
        <f>'Assumptions'!B24</f>
        <v>150.0</v>
      </c>
    </row>
    <row r="20" spans="1:4">
      <c r="A20" s="18" t="s">
        <v>73</v>
      </c>
      <c r="B20" s="19">
        <f>(B18-B19)</f>
        <v>-7506.0</v>
      </c>
      <c r="C20" s="19">
        <f>(C18-C19)</f>
        <v>-4792.4626739726045</v>
      </c>
      <c r="D20" s="19">
        <f>(D18-D19)</f>
        <v>214.8760220274071</v>
      </c>
    </row>
    <row r="21" spans="1:4">
      <c r="A21" s="20" t="s">
        <v>74</v>
      </c>
      <c r="B21" s="21">
        <f>(B11/B8)</f>
        <v>0.7703703703703704</v>
      </c>
      <c r="C21" s="21">
        <f>(C11/C8)</f>
        <v>0.7703703703703704</v>
      </c>
      <c r="D21" s="21">
        <f>(D11/D8)</f>
        <v>0.7703703703703704</v>
      </c>
    </row>
    <row r="22" spans="1:4">
      <c r="A22" s="20" t="s">
        <v>75</v>
      </c>
      <c r="B22" s="21">
        <f>(B16/B8)</f>
        <v>-0.18962962962962962</v>
      </c>
      <c r="C22" s="21">
        <f>(C16/C8)</f>
        <v>-0.09962962962962965</v>
      </c>
      <c r="D22" s="21">
        <f>(D16/D8)</f>
        <v>-0.019629629629629514</v>
      </c>
    </row>
    <row r="23" spans="1:4">
      <c r="A23" s="20" t="s">
        <v>76</v>
      </c>
      <c r="B23" s="22">
        <f>(B8*'Assumptions'!B20)</f>
        <v>2916.0</v>
      </c>
      <c r="C23" s="22">
        <f>(C8*'Assumptions'!B20)</f>
        <v>3939.8399999999997</v>
      </c>
      <c r="D23" s="22">
        <f>(D8*'Assumptions'!B20)</f>
        <v>5177.5199999999995</v>
      </c>
    </row>
    <row r="24" spans="1:4">
      <c r="A24" s="20" t="s">
        <v>77</v>
      </c>
      <c r="B24" s="22">
        <f>(B8*'Assumptions'!B21)</f>
        <v>1069.2</v>
      </c>
      <c r="C24" s="22">
        <f>(C8*'Assumptions'!B21)</f>
        <v>1444.608</v>
      </c>
      <c r="D24" s="22">
        <f>(D8*'Assumptions'!B21)</f>
        <v>1898.424</v>
      </c>
    </row>
    <row r="25" spans="1:4">
      <c r="A25" s="20" t="s">
        <v>78</v>
      </c>
      <c r="B25" s="23">
        <f>((B16+B24)+B23)</f>
        <v>-5230.8</v>
      </c>
      <c r="C25" s="23">
        <f>((C16+C24)+C23)</f>
        <v>-1157.6320000000019</v>
      </c>
      <c r="D25" s="23">
        <f>((D16+D24)+D23)</f>
        <v>5382.064000000009</v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11</v>
      </c>
    </row>
    <row r="3" spans="1:4">
      <c r="A3" s="7" t="s">
        <v>79</v>
      </c>
    </row>
    <row r="5" spans="1:4">
      <c r="A5" s="8"/>
      <c r="B5" s="8" t="s">
        <v>22</v>
      </c>
      <c r="C5" s="8" t="s">
        <v>23</v>
      </c>
      <c r="D5" s="8" t="s">
        <v>24</v>
      </c>
    </row>
    <row r="6" spans="1:4">
      <c r="A6" s="16" t="s">
        <v>80</v>
      </c>
      <c r="B6" s="9"/>
      <c r="C6" s="9"/>
      <c r="D6" s="9"/>
    </row>
    <row r="7" spans="1:4">
      <c r="A7" s="20" t="s">
        <v>81</v>
      </c>
      <c r="B7" s="22">
        <f>'Cash Flow'!B19</f>
        <v>63320.57753424658</v>
      </c>
      <c r="C7" s="22">
        <f>'Cash Flow'!C19</f>
        <v>68625.20073424658</v>
      </c>
      <c r="D7" s="22">
        <f>'Cash Flow'!D19</f>
        <v>81052.55252339727</v>
      </c>
    </row>
    <row r="8" spans="1:4">
      <c r="A8" s="20" t="s">
        <v>82</v>
      </c>
      <c r="B8" s="22">
        <f>(('Income Statement'!B8*'Assumptions'!B25)/365)</f>
        <v>8255.342465753425</v>
      </c>
      <c r="C8" s="22">
        <f>(('Income Statement'!C8*'Assumptions'!C25)/365)</f>
        <v>10794.082191780823</v>
      </c>
      <c r="D8" s="22">
        <f>(('Income Statement'!D8*'Assumptions'!D25)/365)</f>
        <v>13712.153424657534</v>
      </c>
    </row>
    <row r="9" spans="1:4">
      <c r="A9" s="20" t="s">
        <v>83</v>
      </c>
      <c r="B9" s="22">
        <f>('Income Statement'!B8*'Assumptions'!B26)</f>
        <v>1944.0</v>
      </c>
      <c r="C9" s="22">
        <f>('Income Statement'!C8*'Assumptions'!B26)</f>
        <v>2626.56</v>
      </c>
      <c r="D9" s="22">
        <f>('Income Statement'!D8*'Assumptions'!B26)</f>
        <v>3451.6800000000003</v>
      </c>
    </row>
    <row r="10" spans="1:4">
      <c r="A10" s="24" t="s">
        <v>84</v>
      </c>
      <c r="B10" s="25">
        <f>(B7+B8+B9)</f>
        <v>73519.92</v>
      </c>
      <c r="C10" s="25">
        <f>(C7+C8+C9)</f>
        <v>82045.8429260274</v>
      </c>
      <c r="D10" s="25">
        <f>(D7+D8+D9)</f>
        <v>98216.38594805481</v>
      </c>
    </row>
    <row r="11" spans="1:4">
      <c r="A11" s="20" t="s">
        <v>85</v>
      </c>
      <c r="B11" s="22">
        <f>(('Assumptions'!B33+('Income Statement'!B8*'Assumptions'!B22))-'Income Statement'!B24)</f>
        <v>5645.8</v>
      </c>
      <c r="C11" s="22">
        <f>((B11+('Income Statement'!C8*'Assumptions'!B22))-'Income Statement'!C24)</f>
        <v>5842.792</v>
      </c>
      <c r="D11" s="22">
        <f>((C11+('Income Statement'!D8*'Assumptions'!B22))-'Income Statement'!D24)</f>
        <v>6101.668000000001</v>
      </c>
    </row>
    <row r="12" spans="1:4">
      <c r="A12" s="18" t="s">
        <v>86</v>
      </c>
      <c r="B12" s="19">
        <f>(B10+B11)</f>
        <v>79165.72</v>
      </c>
      <c r="C12" s="19">
        <f>(C10+C11)</f>
        <v>87888.6349260274</v>
      </c>
      <c r="D12" s="19">
        <f>(D10+D11)</f>
        <v>104318.05394805482</v>
      </c>
    </row>
    <row r="13" spans="1:4">
      <c r="A13" s="16" t="s">
        <v>87</v>
      </c>
      <c r="B13" s="9"/>
      <c r="C13" s="9"/>
      <c r="D13" s="9"/>
    </row>
    <row r="14" spans="1:4">
      <c r="A14" s="20" t="s">
        <v>88</v>
      </c>
      <c r="B14" s="22">
        <f>((('Income Statement'!B9+'Income Statement'!B10)+'Income Statement'!B15)*'Assumptions'!B27)</f>
        <v>2023.5600000000002</v>
      </c>
      <c r="C14" s="22">
        <f>((('Income Statement'!C9+'Income Statement'!C10)+'Income Statement'!C15)*'Assumptions'!B27)</f>
        <v>2527.2128000000002</v>
      </c>
      <c r="D14" s="22">
        <f>((('Income Statement'!D9+'Income Statement'!D10)+'Income Statement'!D15)*'Assumptions'!B27)</f>
        <v>3079.5058</v>
      </c>
    </row>
    <row r="15" spans="1:4">
      <c r="A15" s="20" t="s">
        <v>89</v>
      </c>
      <c r="B15" s="22">
        <f>('Income Statement'!B15*'Assumptions'!B28)</f>
        <v>5132.16</v>
      </c>
      <c r="C15" s="22">
        <f>('Income Statement'!C15*'Assumptions'!B28)</f>
        <v>6284.0448</v>
      </c>
      <c r="D15" s="22">
        <f>('Income Statement'!D15*'Assumptions'!B28)</f>
        <v>7498.774799999999</v>
      </c>
    </row>
    <row r="16" spans="1:4">
      <c r="A16" s="20" t="s">
        <v>90</v>
      </c>
      <c r="B16" s="22">
        <f>((((('Assumptions'!B6+'Assumptions'!B7)+'Assumptions'!B8)-'Assumptions'!B9)-'Assumptions'!B10)*'Assumptions'!B29)</f>
        <v>23400.0</v>
      </c>
      <c r="C16" s="22">
        <f>((((((((('Assumptions'!B6+'Assumptions'!B7)+'Assumptions'!B8)-'Assumptions'!B9)-'Assumptions'!B10)+'Assumptions'!C7)+'Assumptions'!C8)-'Assumptions'!C9)-'Assumptions'!C10)*'Assumptions'!B29)</f>
        <v>31320.0</v>
      </c>
      <c r="D16" s="22">
        <f>((((((((((((('Assumptions'!B6+'Assumptions'!B7)+'Assumptions'!B8)-'Assumptions'!B9)-'Assumptions'!B10)+'Assumptions'!C7)+'Assumptions'!C8)-'Assumptions'!C9)-'Assumptions'!C10)+'Assumptions'!D7)+'Assumptions'!D8)-'Assumptions'!D9)-'Assumptions'!D10)*'Assumptions'!B29)</f>
        <v>40590.0</v>
      </c>
    </row>
    <row r="17" spans="1:4">
      <c r="A17" s="16" t="s">
        <v>91</v>
      </c>
      <c r="B17" s="17">
        <f>(B14+B15+B16)</f>
        <v>30555.72</v>
      </c>
      <c r="C17" s="17">
        <f>(C14+C15+C16)</f>
        <v>40131.2576</v>
      </c>
      <c r="D17" s="17">
        <f>(D14+D15+D16)</f>
        <v>51168.2806</v>
      </c>
    </row>
    <row r="18" spans="1:4">
      <c r="A18" s="16" t="s">
        <v>92</v>
      </c>
      <c r="B18" s="9"/>
      <c r="C18" s="9"/>
      <c r="D18" s="9"/>
    </row>
    <row r="19" spans="1:4">
      <c r="A19" s="20" t="s">
        <v>93</v>
      </c>
      <c r="B19" s="22">
        <f>('Assumptions'!B37+'Income Statement'!B23)</f>
        <v>147916.0</v>
      </c>
      <c r="C19" s="22">
        <f>(B19+'Income Statement'!C23)</f>
        <v>151855.84</v>
      </c>
      <c r="D19" s="22">
        <f>(C19+'Income Statement'!D23)</f>
        <v>157033.36</v>
      </c>
    </row>
    <row r="20" spans="1:4">
      <c r="A20" s="20" t="s">
        <v>94</v>
      </c>
      <c r="B20" s="22">
        <f>('Assumptions'!B38+'Income Statement'!B20)</f>
        <v>-99306.0</v>
      </c>
      <c r="C20" s="22">
        <f>(B20+'Income Statement'!C20)</f>
        <v>-104098.46267397261</v>
      </c>
      <c r="D20" s="22">
        <f>(C20+'Income Statement'!D20)</f>
        <v>-103883.5866519452</v>
      </c>
    </row>
    <row r="21" spans="1:4">
      <c r="A21" s="16" t="s">
        <v>95</v>
      </c>
      <c r="B21" s="17">
        <f>(B19+B20)</f>
        <v>48610.0</v>
      </c>
      <c r="C21" s="17">
        <f>(C19+C20)</f>
        <v>47757.37732602739</v>
      </c>
      <c r="D21" s="17">
        <f>(D19+D20)</f>
        <v>53149.77334805479</v>
      </c>
    </row>
    <row r="22" spans="1:4">
      <c r="A22" s="18" t="s">
        <v>96</v>
      </c>
      <c r="B22" s="19">
        <f>(B17+B21)</f>
        <v>79165.72</v>
      </c>
      <c r="C22" s="19">
        <f>(C17+C21)</f>
        <v>87888.63492602739</v>
      </c>
      <c r="D22" s="19">
        <f>(D17+D21)</f>
        <v>104318.05394805479</v>
      </c>
    </row>
  </sheetData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97</v>
      </c>
    </row>
    <row r="3" spans="1:4">
      <c r="A3" s="7" t="s">
        <v>58</v>
      </c>
    </row>
    <row r="5" spans="1:4">
      <c r="A5" s="8"/>
      <c r="B5" s="8" t="s">
        <v>22</v>
      </c>
      <c r="C5" s="8" t="s">
        <v>23</v>
      </c>
      <c r="D5" s="8" t="s">
        <v>24</v>
      </c>
    </row>
    <row r="6" spans="1:4">
      <c r="A6" s="9" t="s">
        <v>73</v>
      </c>
      <c r="B6" s="15">
        <f>'Income Statement'!B20</f>
        <v>-7506.0</v>
      </c>
      <c r="C6" s="15">
        <f>'Income Statement'!C20</f>
        <v>-4792.4626739726045</v>
      </c>
      <c r="D6" s="15">
        <f>'Income Statement'!D20</f>
        <v>214.8760220274071</v>
      </c>
    </row>
    <row r="7" spans="1:4">
      <c r="A7" s="9" t="s">
        <v>77</v>
      </c>
      <c r="B7" s="15">
        <f>'Income Statement'!B24</f>
        <v>1069.2</v>
      </c>
      <c r="C7" s="15">
        <f>'Income Statement'!C24</f>
        <v>1444.608</v>
      </c>
      <c r="D7" s="15">
        <f>'Income Statement'!D24</f>
        <v>1898.424</v>
      </c>
    </row>
    <row r="8" spans="1:4">
      <c r="A8" s="9" t="s">
        <v>76</v>
      </c>
      <c r="B8" s="15">
        <f>'Income Statement'!B23</f>
        <v>2916.0</v>
      </c>
      <c r="C8" s="15">
        <f>'Income Statement'!C23</f>
        <v>3939.8399999999997</v>
      </c>
      <c r="D8" s="15">
        <f>'Income Statement'!D23</f>
        <v>5177.5199999999995</v>
      </c>
    </row>
    <row r="9" spans="1:4">
      <c r="A9" s="9" t="s">
        <v>98</v>
      </c>
      <c r="B9" s="15">
        <f>(-('Balance Sheet'!B8-'Assumptions'!B31))</f>
        <v>1544.6575342465749</v>
      </c>
      <c r="C9" s="15">
        <f>(-('Balance Sheet'!C8-'Balance Sheet'!B8))</f>
        <v>-2538.7397260273974</v>
      </c>
      <c r="D9" s="15">
        <f>(-('Balance Sheet'!D8-'Balance Sheet'!C8))</f>
        <v>-2918.0712328767113</v>
      </c>
    </row>
    <row r="10" spans="1:4">
      <c r="A10" s="9" t="s">
        <v>99</v>
      </c>
      <c r="B10" s="15">
        <f>(-('Balance Sheet'!B9-'Assumptions'!B32))</f>
        <v>156.0</v>
      </c>
      <c r="C10" s="15">
        <f>(-('Balance Sheet'!C9-'Balance Sheet'!B9))</f>
        <v>-682.56</v>
      </c>
      <c r="D10" s="15">
        <f>(-('Balance Sheet'!D9-'Balance Sheet'!C9))</f>
        <v>-825.1200000000003</v>
      </c>
    </row>
    <row r="11" spans="1:4">
      <c r="A11" s="9" t="s">
        <v>100</v>
      </c>
      <c r="B11" s="15">
        <f>('Balance Sheet'!B14-'Assumptions'!B34)</f>
        <v>-276.4399999999998</v>
      </c>
      <c r="C11" s="15">
        <f>('Balance Sheet'!C14-'Balance Sheet'!B14)</f>
        <v>503.65280000000007</v>
      </c>
      <c r="D11" s="15">
        <f>('Balance Sheet'!D14-'Balance Sheet'!C14)</f>
        <v>552.2929999999997</v>
      </c>
    </row>
    <row r="12" spans="1:4">
      <c r="A12" s="9" t="s">
        <v>101</v>
      </c>
      <c r="B12" s="15">
        <f>('Balance Sheet'!B15-'Assumptions'!B35)</f>
        <v>-1767.8400000000001</v>
      </c>
      <c r="C12" s="15">
        <f>('Balance Sheet'!C15-'Balance Sheet'!B15)</f>
        <v>1151.8847999999998</v>
      </c>
      <c r="D12" s="15">
        <f>('Balance Sheet'!D15-'Balance Sheet'!C15)</f>
        <v>1214.7299999999996</v>
      </c>
    </row>
    <row r="13" spans="1:4">
      <c r="A13" s="9" t="s">
        <v>102</v>
      </c>
      <c r="B13" s="15">
        <f>('Balance Sheet'!B16-'Assumptions'!B36)</f>
        <v>6400.0</v>
      </c>
      <c r="C13" s="15">
        <f>('Balance Sheet'!C16-'Balance Sheet'!B16)</f>
        <v>7920.0</v>
      </c>
      <c r="D13" s="15">
        <f>('Balance Sheet'!D16-'Balance Sheet'!C16)</f>
        <v>9270.0</v>
      </c>
    </row>
    <row r="14" spans="1:4">
      <c r="A14" s="16" t="s">
        <v>103</v>
      </c>
      <c r="B14" s="17">
        <f>(B6+B7+B8+B9+B10+B11+B12+B13)</f>
        <v>2535.577534246575</v>
      </c>
      <c r="C14" s="17">
        <f>(C6+C7+C8+C9+C10+C11+C12+C13)</f>
        <v>6946.223199999998</v>
      </c>
      <c r="D14" s="17">
        <f>(D6+D7+D8+D9+D10+D11+D12+D13)</f>
        <v>14584.651789150694</v>
      </c>
    </row>
    <row r="15" spans="1:4">
      <c r="A15" s="9" t="s">
        <v>104</v>
      </c>
      <c r="B15" s="15">
        <f>((-'Income Statement'!B8)*'Assumptions'!B22)</f>
        <v>-1215.0</v>
      </c>
      <c r="C15" s="15">
        <f>((-'Income Statement'!C8)*'Assumptions'!B22)</f>
        <v>-1641.6000000000001</v>
      </c>
      <c r="D15" s="15">
        <f>((-'Income Statement'!D8)*'Assumptions'!B22)</f>
        <v>-2157.3</v>
      </c>
    </row>
    <row r="16" spans="1:4">
      <c r="A16" s="16" t="s">
        <v>105</v>
      </c>
      <c r="B16" s="17">
        <f>B15</f>
        <v>-1215.0</v>
      </c>
      <c r="C16" s="17">
        <f>C15</f>
        <v>-1641.6000000000001</v>
      </c>
      <c r="D16" s="17">
        <f>D15</f>
        <v>-2157.3</v>
      </c>
    </row>
    <row r="17" spans="1:4">
      <c r="A17" s="16" t="s">
        <v>106</v>
      </c>
      <c r="B17" s="17">
        <f>(B14+B16)</f>
        <v>1320.577534246575</v>
      </c>
      <c r="C17" s="17">
        <f>(C14+C16)</f>
        <v>5304.623199999997</v>
      </c>
      <c r="D17" s="17">
        <f>(D14+D16)</f>
        <v>12427.351789150693</v>
      </c>
    </row>
    <row r="18" spans="1:4">
      <c r="A18" s="9" t="s">
        <v>107</v>
      </c>
      <c r="B18" s="15">
        <f>'Assumptions'!B30</f>
        <v>62000.0</v>
      </c>
      <c r="C18" s="15">
        <f>'Balance Sheet'!B7</f>
        <v>63320.57753424658</v>
      </c>
      <c r="D18" s="15">
        <f>'Balance Sheet'!C7</f>
        <v>68625.20073424658</v>
      </c>
    </row>
    <row r="19" spans="1:4">
      <c r="A19" s="18" t="s">
        <v>108</v>
      </c>
      <c r="B19" s="19">
        <f>(B18+B17)</f>
        <v>63320.57753424658</v>
      </c>
      <c r="C19" s="19">
        <f>(C18+C17)</f>
        <v>68625.20073424658</v>
      </c>
      <c r="D19" s="19">
        <f>(D18+D17)</f>
        <v>81052.55252339727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13</v>
      </c>
    </row>
    <row r="3" spans="1:4">
      <c r="A3" s="7" t="s">
        <v>21</v>
      </c>
    </row>
    <row r="5" spans="1:4">
      <c r="A5" s="8"/>
      <c r="B5" s="8" t="s">
        <v>22</v>
      </c>
      <c r="C5" s="8" t="s">
        <v>23</v>
      </c>
      <c r="D5" s="8" t="s">
        <v>24</v>
      </c>
    </row>
    <row r="6" spans="1:4">
      <c r="A6" s="9" t="s">
        <v>74</v>
      </c>
      <c r="B6" s="26">
        <f>('Income Statement'!B11/'Income Statement'!B8)</f>
        <v>0.7703703703703704</v>
      </c>
      <c r="C6" s="26">
        <f>('Income Statement'!C11/'Income Statement'!C8)</f>
        <v>0.7703703703703704</v>
      </c>
      <c r="D6" s="26">
        <f>('Income Statement'!D11/'Income Statement'!D8)</f>
        <v>0.7703703703703704</v>
      </c>
    </row>
    <row r="7" spans="1:4">
      <c r="A7" s="9" t="s">
        <v>75</v>
      </c>
      <c r="B7" s="26">
        <f>('Income Statement'!B16/'Income Statement'!B8)</f>
        <v>-0.18962962962962962</v>
      </c>
      <c r="C7" s="26">
        <f>('Income Statement'!C16/'Income Statement'!C8)</f>
        <v>-0.09962962962962965</v>
      </c>
      <c r="D7" s="26">
        <f>('Income Statement'!D16/'Income Statement'!D8)</f>
        <v>-0.019629629629629514</v>
      </c>
    </row>
    <row r="8" spans="1:4">
      <c r="A8" s="9" t="s">
        <v>109</v>
      </c>
      <c r="B8" s="26">
        <f>('Income Statement'!B25/'Income Statement'!B8)</f>
        <v>-0.10762962962962963</v>
      </c>
      <c r="C8" s="26">
        <f>('Income Statement'!C25/'Income Statement'!C8)</f>
        <v>-0.01762962962962966</v>
      </c>
      <c r="D8" s="26">
        <f>('Income Statement'!D25/'Income Statement'!D8)</f>
        <v>0.06237037037037048</v>
      </c>
    </row>
    <row r="9" spans="1:4">
      <c r="A9" s="9" t="s">
        <v>110</v>
      </c>
      <c r="B9" s="26">
        <f>('Income Statement'!B20/'Income Statement'!B8)</f>
        <v>-0.15444444444444444</v>
      </c>
      <c r="C9" s="26">
        <f>('Income Statement'!C20/'Income Statement'!C8)</f>
        <v>-0.07298462892867635</v>
      </c>
      <c r="D9" s="26">
        <f>('Income Statement'!D20/'Income Statement'!D8)</f>
        <v>0.002490103625219106</v>
      </c>
    </row>
    <row r="10" spans="1:4">
      <c r="A10" s="9" t="s">
        <v>111</v>
      </c>
      <c r="B10" s="20" t="s">
        <v>117</v>
      </c>
      <c r="C10" s="26">
        <f>(('Income Statement'!C8/'Income Statement'!B8)-1)</f>
        <v>0.35111111111111115</v>
      </c>
      <c r="D10" s="26">
        <f>(('Income Statement'!D8/'Income Statement'!C8)-1)</f>
        <v>0.3141447368421053</v>
      </c>
    </row>
    <row r="11" spans="1:4">
      <c r="A11" s="9" t="s">
        <v>112</v>
      </c>
      <c r="B11" s="27">
        <f>('Balance Sheet'!B10/'Balance Sheet'!B17)</f>
        <v>2.4060935235694</v>
      </c>
      <c r="C11" s="27">
        <f>('Balance Sheet'!C10/'Balance Sheet'!C17)</f>
        <v>2.0444373745722686</v>
      </c>
      <c r="D11" s="27">
        <f>('Balance Sheet'!D10/'Balance Sheet'!D17)</f>
        <v>1.9194779421228942</v>
      </c>
    </row>
    <row r="12" spans="1:4">
      <c r="A12" s="9" t="s">
        <v>113</v>
      </c>
      <c r="B12" s="26">
        <f>('Income Statement'!B20/((('Assumptions'!B37+'Assumptions'!B38)+'Balance Sheet'!B21)/2))</f>
        <v>-0.14745113446616245</v>
      </c>
      <c r="C12" s="26">
        <f>('Income Statement'!C20/(('Balance Sheet'!B21+'Balance Sheet'!C21)/2))</f>
        <v>-0.09946234518262088</v>
      </c>
      <c r="D12" s="26">
        <f>('Income Statement'!D20/(('Balance Sheet'!C21+'Balance Sheet'!D21)/2))</f>
        <v>0.004258885928142605</v>
      </c>
    </row>
    <row r="13" spans="1:4">
      <c r="A13" s="9" t="s">
        <v>114</v>
      </c>
      <c r="B13" s="28">
        <f>(('Balance Sheet'!B8/'Income Statement'!B8)*365)</f>
        <v>62.0</v>
      </c>
      <c r="C13" s="28">
        <f>(('Balance Sheet'!C8/'Income Statement'!C8)*365)</f>
        <v>60.00000000000001</v>
      </c>
      <c r="D13" s="28">
        <f>(('Balance Sheet'!D8/'Income Statement'!D8)*365)</f>
        <v>57.99999999999999</v>
      </c>
    </row>
    <row r="14" spans="1:4">
      <c r="A14" s="9" t="s">
        <v>115</v>
      </c>
      <c r="B14" s="15">
        <f>('Cash Flow'!B14+'Cash Flow'!B15)</f>
        <v>1320.577534246575</v>
      </c>
      <c r="C14" s="15">
        <f>('Cash Flow'!C14+'Cash Flow'!C15)</f>
        <v>5304.623199999997</v>
      </c>
      <c r="D14" s="15">
        <f>('Cash Flow'!D14+'Cash Flow'!D15)</f>
        <v>12427.351789150693</v>
      </c>
    </row>
    <row r="15" spans="1:4">
      <c r="A15" s="9" t="s">
        <v>116</v>
      </c>
      <c r="B15" s="26">
        <f>(('Cash Flow'!B14+'Cash Flow'!B15)/'Income Statement'!B8)</f>
        <v>0.02717237724787191</v>
      </c>
      <c r="C15" s="26">
        <f>(('Cash Flow'!C14+'Cash Flow'!C15)/'Income Statement'!C8)</f>
        <v>0.08078434454191029</v>
      </c>
      <c r="D15" s="26">
        <f>(('Cash Flow'!D14+'Cash Flow'!D15)/'Income Statement'!D8)</f>
        <v>0.14401510903850523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showGridLines="0" workbookViewId="0"/>
  </sheetViews>
  <sheetFormatPr defaultRowHeight="15"/>
  <cols>
    <col min="1" max="1" width="34.7109375" customWidth="1"/>
  </cols>
  <sheetData>
    <row r="1" spans="1:4">
      <c r="A1" s="1" t="s">
        <v>0</v>
      </c>
    </row>
    <row r="2" spans="1:4">
      <c r="A2" s="3" t="s">
        <v>118</v>
      </c>
    </row>
    <row r="3" spans="1:4">
      <c r="A3" s="7" t="s">
        <v>21</v>
      </c>
    </row>
    <row r="5" spans="1:4">
      <c r="A5" s="8"/>
      <c r="B5" s="8" t="s">
        <v>22</v>
      </c>
      <c r="C5" s="8" t="s">
        <v>23</v>
      </c>
      <c r="D5" s="8" t="s">
        <v>24</v>
      </c>
    </row>
    <row r="6" spans="1:4">
      <c r="A6" s="9" t="s">
        <v>119</v>
      </c>
      <c r="B6" s="15">
        <f>'Assumptions'!B6</f>
        <v>38000.0</v>
      </c>
      <c r="C6" s="15">
        <f>(((('Assumptions'!B6+'Assumptions'!B7)+'Assumptions'!B8)-'Assumptions'!B9)-'Assumptions'!B10)</f>
        <v>52000.0</v>
      </c>
      <c r="D6" s="15">
        <f>(((((((('Assumptions'!B6+'Assumptions'!B7)+'Assumptions'!B8)-'Assumptions'!B9)-'Assumptions'!B10)+'Assumptions'!C7)+'Assumptions'!C8)-'Assumptions'!C9)-'Assumptions'!C10)</f>
        <v>69600.0</v>
      </c>
    </row>
    <row r="7" spans="1:4">
      <c r="A7" s="9" t="s">
        <v>26</v>
      </c>
      <c r="B7" s="15">
        <f>'Assumptions'!B7</f>
        <v>12500.0</v>
      </c>
      <c r="C7" s="15">
        <f>'Assumptions'!C7</f>
        <v>15200.0</v>
      </c>
      <c r="D7" s="15">
        <f>'Assumptions'!D7</f>
        <v>16900.0</v>
      </c>
    </row>
    <row r="8" spans="1:4">
      <c r="A8" s="9" t="s">
        <v>27</v>
      </c>
      <c r="B8" s="15">
        <f>'Assumptions'!B8</f>
        <v>6800.0</v>
      </c>
      <c r="C8" s="15">
        <f>'Assumptions'!C8</f>
        <v>9100.0</v>
      </c>
      <c r="D8" s="15">
        <f>'Assumptions'!D8</f>
        <v>11800.0</v>
      </c>
    </row>
    <row r="9" spans="1:4">
      <c r="A9" s="9" t="s">
        <v>28</v>
      </c>
      <c r="B9" s="15">
        <f>'Assumptions'!B9</f>
        <v>1900.0</v>
      </c>
      <c r="C9" s="15">
        <f>'Assumptions'!C9</f>
        <v>2400.0</v>
      </c>
      <c r="D9" s="15">
        <f>'Assumptions'!D9</f>
        <v>2900.0</v>
      </c>
    </row>
    <row r="10" spans="1:4">
      <c r="A10" s="9" t="s">
        <v>29</v>
      </c>
      <c r="B10" s="15">
        <f>'Assumptions'!B10</f>
        <v>3400.0</v>
      </c>
      <c r="C10" s="15">
        <f>'Assumptions'!C10</f>
        <v>4300.0</v>
      </c>
      <c r="D10" s="15">
        <f>'Assumptions'!D10</f>
        <v>5200.0</v>
      </c>
    </row>
    <row r="11" spans="1:4">
      <c r="A11" s="9" t="s">
        <v>120</v>
      </c>
      <c r="B11" s="29">
        <f>((((B6+B7)+B8)-B9)-B10)</f>
        <v>52000.0</v>
      </c>
      <c r="C11" s="29">
        <f>((((C6+C7)+C8)-C9)-C10)</f>
        <v>69600.0</v>
      </c>
      <c r="D11" s="29">
        <f>((((D6+D7)+D8)-D9)-D10)</f>
        <v>90200.0</v>
      </c>
    </row>
    <row r="14" spans="1:4">
      <c r="A14" s="8"/>
      <c r="B14" s="8" t="s">
        <v>22</v>
      </c>
      <c r="C14" s="8" t="s">
        <v>23</v>
      </c>
      <c r="D14" s="8" t="s">
        <v>24</v>
      </c>
    </row>
    <row r="15" spans="1:4">
      <c r="A15" s="9" t="s">
        <v>120</v>
      </c>
      <c r="B15" s="15">
        <f>'SaaS Metrics'!B11</f>
        <v>52000.0</v>
      </c>
      <c r="C15" s="15">
        <f>'SaaS Metrics'!C11</f>
        <v>69600.0</v>
      </c>
      <c r="D15" s="15">
        <f>'SaaS Metrics'!D11</f>
        <v>90200.0</v>
      </c>
    </row>
    <row r="16" spans="1:4">
      <c r="A16" s="9" t="s">
        <v>121</v>
      </c>
      <c r="B16" s="15">
        <f>((('SaaS Metrics'!B7+'SaaS Metrics'!B8)-'SaaS Metrics'!B9)-'SaaS Metrics'!B10)</f>
        <v>14000.0</v>
      </c>
      <c r="C16" s="15">
        <f>((('SaaS Metrics'!C7+'SaaS Metrics'!C8)-'SaaS Metrics'!C9)-'SaaS Metrics'!C10)</f>
        <v>17600.0</v>
      </c>
      <c r="D16" s="15">
        <f>((('SaaS Metrics'!D7+'SaaS Metrics'!D8)-'SaaS Metrics'!D9)-'SaaS Metrics'!D10)</f>
        <v>20600.0</v>
      </c>
    </row>
    <row r="17" spans="1:4">
      <c r="A17" s="9" t="s">
        <v>122</v>
      </c>
      <c r="B17" s="20" t="s">
        <v>117</v>
      </c>
      <c r="C17" s="26">
        <f>(('SaaS Metrics'!C11/'SaaS Metrics'!B11)-1)</f>
        <v>0.33846153846153837</v>
      </c>
      <c r="D17" s="26">
        <f>(('SaaS Metrics'!D11/'SaaS Metrics'!C11)-1)</f>
        <v>0.2959770114942528</v>
      </c>
    </row>
    <row r="18" spans="1:4">
      <c r="A18" s="9" t="s">
        <v>123</v>
      </c>
      <c r="B18" s="26">
        <f>(((('SaaS Metrics'!B6+'SaaS Metrics'!B8)-'SaaS Metrics'!B9)-'SaaS Metrics'!B10)/'SaaS Metrics'!B6)</f>
        <v>1.0394736842105263</v>
      </c>
      <c r="C18" s="26">
        <f>(((('SaaS Metrics'!C6+'SaaS Metrics'!C8)-'SaaS Metrics'!C9)-'SaaS Metrics'!C10)/'SaaS Metrics'!C6)</f>
        <v>1.0461538461538462</v>
      </c>
      <c r="D18" s="26">
        <f>(((('SaaS Metrics'!D6+'SaaS Metrics'!D8)-'SaaS Metrics'!D9)-'SaaS Metrics'!D10)/'SaaS Metrics'!D6)</f>
        <v>1.0531609195402298</v>
      </c>
    </row>
    <row r="19" spans="1:4">
      <c r="A19" s="9" t="s">
        <v>124</v>
      </c>
      <c r="B19" s="26">
        <f>((('SaaS Metrics'!B6-'SaaS Metrics'!B9)-'SaaS Metrics'!B10)/'SaaS Metrics'!B6)</f>
        <v>0.8605263157894737</v>
      </c>
      <c r="C19" s="26">
        <f>((('SaaS Metrics'!C6-'SaaS Metrics'!C9)-'SaaS Metrics'!C10)/'SaaS Metrics'!C6)</f>
        <v>0.8711538461538462</v>
      </c>
      <c r="D19" s="26">
        <f>((('SaaS Metrics'!D6-'SaaS Metrics'!D9)-'SaaS Metrics'!D10)/'SaaS Metrics'!D6)</f>
        <v>0.8836206896551724</v>
      </c>
    </row>
    <row r="20" spans="1:4">
      <c r="A20" s="9" t="s">
        <v>125</v>
      </c>
      <c r="B20" s="30">
        <f>(('Assumptions'!B11+'Assumptions'!B12)-'Assumptions'!B13)</f>
        <v>1040.0</v>
      </c>
      <c r="C20" s="30">
        <f>((B20+'Assumptions'!C12)-'Assumptions'!C13)</f>
        <v>1310.0</v>
      </c>
      <c r="D20" s="30">
        <f>((C20+'Assumptions'!D12)-'Assumptions'!D13)</f>
        <v>1590.0</v>
      </c>
    </row>
    <row r="21" spans="1:4">
      <c r="A21" s="9" t="s">
        <v>126</v>
      </c>
      <c r="B21" s="31">
        <f>((B15/B20)*1000)</f>
        <v>50000.0</v>
      </c>
      <c r="C21" s="31">
        <f>((C15/C20)*1000)</f>
        <v>53129.77099236641</v>
      </c>
      <c r="D21" s="31">
        <f>((D15/D20)*1000)</f>
        <v>56729.55974842767</v>
      </c>
    </row>
    <row r="22" spans="1:4">
      <c r="A22" s="9" t="s">
        <v>127</v>
      </c>
      <c r="B22" s="26">
        <f>('Assumptions'!B13/'Assumptions'!B11)</f>
        <v>0.20481927710843373</v>
      </c>
      <c r="C22" s="26">
        <f>('Assumptions'!C13/B20)</f>
        <v>0.14423076923076922</v>
      </c>
      <c r="D22" s="26">
        <f>('Assumptions'!D13/C20)</f>
        <v>0.12213740458015267</v>
      </c>
    </row>
    <row r="23" spans="1:4">
      <c r="A23" s="9" t="s">
        <v>128</v>
      </c>
      <c r="B23" s="28">
        <f>(('Income Statement'!B12/(('SaaS Metrics'!B7+'SaaS Metrics'!B8)*(1-'Assumptions'!B14)))*12)</f>
        <v>19.16239100214836</v>
      </c>
      <c r="C23" s="28">
        <f>(('Income Statement'!C12/(('SaaS Metrics'!C7+'SaaS Metrics'!C8)*(1-'Assumptions'!B14)))*12)</f>
        <v>18.5860162601626</v>
      </c>
      <c r="D23" s="28">
        <f>(('Income Statement'!D12/(('SaaS Metrics'!D7+'SaaS Metrics'!D8)*(1-'Assumptions'!B14)))*12)</f>
        <v>18.920146171496558</v>
      </c>
    </row>
    <row r="24" spans="1:4">
      <c r="A24" s="9" t="s">
        <v>129</v>
      </c>
      <c r="B24" s="27">
        <f>(((('SaaS Metrics'!B7+'SaaS Metrics'!B8)-'SaaS Metrics'!B9)-'SaaS Metrics'!B10)/'Income Statement'!B12)</f>
        <v>0.5539727761949984</v>
      </c>
      <c r="C24" s="27">
        <f>(((('SaaS Metrics'!C7+'SaaS Metrics'!C8)-'SaaS Metrics'!C9)-'SaaS Metrics'!C10)/'Income Statement'!C12)</f>
        <v>0.5702791257102567</v>
      </c>
      <c r="D24" s="27">
        <f>(((('SaaS Metrics'!D7+'SaaS Metrics'!D8)-'SaaS Metrics'!D9)-'SaaS Metrics'!D10)/'Income Statement'!D12)</f>
        <v>0.5551728635816304</v>
      </c>
    </row>
    <row r="25" spans="1:4">
      <c r="A25" s="9" t="s">
        <v>130</v>
      </c>
      <c r="B25" s="32">
        <f>((((B21/1000)*(1-'Assumptions'!B14))/B22)*1000)</f>
        <v>200176.4705882353</v>
      </c>
      <c r="C25" s="32">
        <f>((((C21/1000)*(1-'Assumptions'!B14))/C22)*1000)</f>
        <v>302060.4580152672</v>
      </c>
      <c r="D25" s="32">
        <f>((((D21/1000)*(1-'Assumptions'!B14))/D22)*1000)</f>
        <v>380868.0817610063</v>
      </c>
    </row>
    <row r="26" spans="1:4">
      <c r="A26" s="9" t="s">
        <v>131</v>
      </c>
      <c r="B26" s="32">
        <f>(((0.7*'Income Statement'!B12)/'Assumptions'!B12)*1000)</f>
        <v>46553.68421052631</v>
      </c>
      <c r="C26" s="32">
        <f>(((0.7*'Income Statement'!C12)/'Assumptions'!C12)*1000)</f>
        <v>51436.799999999996</v>
      </c>
      <c r="D26" s="32">
        <f>(((0.7*'Income Statement'!D12)/'Assumptions'!D12)*1000)</f>
        <v>59031.572727272716</v>
      </c>
    </row>
    <row r="27" spans="1:4">
      <c r="A27" s="9" t="s">
        <v>132</v>
      </c>
      <c r="B27" s="33">
        <f>(B25/B26)</f>
        <v>4.299906097291719</v>
      </c>
      <c r="C27" s="33">
        <f>(C25/C26)</f>
        <v>5.872458201429079</v>
      </c>
      <c r="D27" s="33">
        <f>(D25/D26)</f>
        <v>6.451938584130665</v>
      </c>
    </row>
    <row r="28" spans="1:4">
      <c r="A28" s="9" t="s">
        <v>133</v>
      </c>
      <c r="B28" s="20" t="s">
        <v>117</v>
      </c>
      <c r="C28" s="26">
        <f>((('Income Statement'!C8/'Income Statement'!B8)-1)+(('Cash Flow'!C14+'Cash Flow'!C15)/'Income Statement'!C8))</f>
        <v>0.43189545565302145</v>
      </c>
      <c r="D28" s="26">
        <f>((('Income Statement'!D8/'Income Statement'!C8)-1)+(('Cash Flow'!D14+'Cash Flow'!D15)/'Income Statement'!D8))</f>
        <v>0.45815984588061054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showGridLines="0" workbookViewId="0"/>
  </sheetViews>
  <sheetFormatPr defaultRowHeight="15"/>
  <cols>
    <col min="1" max="1" width="34.7109375" customWidth="1"/>
  </cols>
  <sheetData>
    <row r="1" spans="1:6">
      <c r="A1" s="1" t="s">
        <v>0</v>
      </c>
    </row>
    <row r="2" spans="1:6">
      <c r="A2" s="3" t="s">
        <v>134</v>
      </c>
    </row>
    <row r="3" spans="1:6">
      <c r="A3" s="7" t="s">
        <v>21</v>
      </c>
    </row>
    <row r="5" spans="1:6">
      <c r="A5" s="8"/>
      <c r="B5" s="8" t="s">
        <v>135</v>
      </c>
      <c r="C5" s="8" t="s">
        <v>136</v>
      </c>
      <c r="D5" s="8" t="s">
        <v>137</v>
      </c>
      <c r="E5" s="8" t="s">
        <v>138</v>
      </c>
      <c r="F5" s="8" t="s">
        <v>139</v>
      </c>
    </row>
    <row r="6" spans="1:6">
      <c r="A6" s="9" t="s">
        <v>111</v>
      </c>
      <c r="B6" s="12">
        <v>0.28</v>
      </c>
      <c r="C6" s="12">
        <v>0.24</v>
      </c>
      <c r="D6" s="12">
        <v>0.2</v>
      </c>
      <c r="E6" s="12">
        <v>0.17</v>
      </c>
      <c r="F6" s="12">
        <v>0.14</v>
      </c>
    </row>
    <row r="7" spans="1:6">
      <c r="A7" s="9" t="s">
        <v>116</v>
      </c>
      <c r="B7" s="12">
        <v>0.16</v>
      </c>
      <c r="C7" s="12">
        <v>0.19</v>
      </c>
      <c r="D7" s="12">
        <v>0.22</v>
      </c>
      <c r="E7" s="12">
        <v>0.24</v>
      </c>
      <c r="F7" s="12">
        <v>0.25</v>
      </c>
    </row>
    <row r="8" spans="1:6">
      <c r="A8" s="9" t="s">
        <v>140</v>
      </c>
      <c r="B8" s="13">
        <v>0.115</v>
      </c>
    </row>
    <row r="9" spans="1:6">
      <c r="A9" s="9" t="s">
        <v>141</v>
      </c>
      <c r="B9" s="13">
        <v>0.04</v>
      </c>
    </row>
    <row r="12" spans="1:6">
      <c r="A12" s="8"/>
      <c r="B12" s="8" t="s">
        <v>135</v>
      </c>
      <c r="C12" s="8" t="s">
        <v>136</v>
      </c>
      <c r="D12" s="8" t="s">
        <v>137</v>
      </c>
      <c r="E12" s="8" t="s">
        <v>138</v>
      </c>
      <c r="F12" s="8" t="s">
        <v>139</v>
      </c>
    </row>
    <row r="13" spans="1:6">
      <c r="A13" s="9" t="s">
        <v>142</v>
      </c>
      <c r="B13" s="15">
        <f>('Income Statement'!D8*(1+'DCF'!B6))</f>
        <v>110453.76000000001</v>
      </c>
      <c r="C13" s="15">
        <f>(B13*(1+'DCF'!C6))</f>
        <v>136962.6624</v>
      </c>
      <c r="D13" s="15">
        <f>(C13*(1+'DCF'!D6))</f>
        <v>164355.19488</v>
      </c>
      <c r="E13" s="15">
        <f>(D13*(1+'DCF'!E6))</f>
        <v>192295.5780096</v>
      </c>
      <c r="F13" s="15">
        <f>(E13*(1+'DCF'!F6))</f>
        <v>219216.958930944</v>
      </c>
    </row>
    <row r="14" spans="1:6">
      <c r="A14" s="9" t="s">
        <v>115</v>
      </c>
      <c r="B14" s="15">
        <f>(B13*'DCF'!B7)</f>
        <v>17672.6016</v>
      </c>
      <c r="C14" s="15">
        <f>(C13*'DCF'!C7)</f>
        <v>26022.905856</v>
      </c>
      <c r="D14" s="15">
        <f>(D13*'DCF'!D7)</f>
        <v>36158.1428736</v>
      </c>
      <c r="E14" s="15">
        <f>(E13*'DCF'!E7)</f>
        <v>46150.938722303996</v>
      </c>
      <c r="F14" s="15">
        <f>(F13*'DCF'!F7)</f>
        <v>54804.239732736</v>
      </c>
    </row>
    <row r="15" spans="1:6">
      <c r="A15" s="9" t="s">
        <v>143</v>
      </c>
      <c r="B15" s="34">
        <f>(1/((1+'DCF'!B8)^1))</f>
        <v>0.8968609865470852</v>
      </c>
      <c r="C15" s="34">
        <f>(1/((1+'DCF'!B8)^2))</f>
        <v>0.804359629190211</v>
      </c>
      <c r="D15" s="34">
        <f>(1/((1+'DCF'!B8)^3))</f>
        <v>0.7213987705741802</v>
      </c>
      <c r="E15" s="34">
        <f>(1/((1+'DCF'!B8)^4))</f>
        <v>0.6469944130710137</v>
      </c>
      <c r="F15" s="34">
        <f>(1/((1+'DCF'!B8)^5))</f>
        <v>0.5802640475973216</v>
      </c>
    </row>
    <row r="16" spans="1:6">
      <c r="A16" s="9" t="s">
        <v>144</v>
      </c>
      <c r="B16" s="29">
        <f>(B14*B15)</f>
        <v>15849.866905829598</v>
      </c>
      <c r="C16" s="29">
        <f>(C14*C15)</f>
        <v>20931.77490478393</v>
      </c>
      <c r="D16" s="29">
        <f>(D14*D15)</f>
        <v>26084.439815260597</v>
      </c>
      <c r="E16" s="29">
        <f>(E14*E15)</f>
        <v>29859.399511313393</v>
      </c>
      <c r="F16" s="29">
        <f>(F14*F15)</f>
        <v>31800.929972811347</v>
      </c>
    </row>
    <row r="19" spans="1:6">
      <c r="A19" s="8"/>
      <c r="B19" s="8" t="s">
        <v>145</v>
      </c>
    </row>
    <row r="20" spans="1:6">
      <c r="A20" s="9" t="s">
        <v>146</v>
      </c>
      <c r="B20" s="15">
        <f>('DCF'!B16+'DCF'!C16+'DCF'!D16+'DCF'!E16+'DCF'!F16)</f>
        <v>124526.41110999885</v>
      </c>
    </row>
    <row r="21" spans="1:6">
      <c r="A21" s="9" t="s">
        <v>147</v>
      </c>
      <c r="B21" s="15">
        <f>(('DCF'!F14*(1+'DCF'!B9))/('DCF'!B8-'DCF'!B9))</f>
        <v>759952.1242939392</v>
      </c>
    </row>
    <row r="22" spans="1:6">
      <c r="A22" s="9" t="s">
        <v>148</v>
      </c>
      <c r="B22" s="15">
        <f>(B21*'DCF'!F15)</f>
        <v>440972.89562298404</v>
      </c>
    </row>
    <row r="23" spans="1:6">
      <c r="A23" s="9" t="s">
        <v>149</v>
      </c>
      <c r="B23" s="29">
        <f>(B20+B22)</f>
        <v>565499.3067329829</v>
      </c>
    </row>
    <row r="24" spans="1:6">
      <c r="A24" s="9" t="s">
        <v>150</v>
      </c>
      <c r="B24" s="15">
        <f>(B23+'Balance Sheet'!D7)</f>
        <v>646551.8592563801</v>
      </c>
    </row>
    <row r="25" spans="1:6">
      <c r="A25" s="9" t="s">
        <v>151</v>
      </c>
      <c r="B25" s="27">
        <f>(B23/'SaaS Metrics'!D11)</f>
        <v>6.269393644489832</v>
      </c>
    </row>
    <row r="26" spans="1:6">
      <c r="A26" s="9" t="s">
        <v>152</v>
      </c>
      <c r="B26" s="35">
        <f>(B22/B23)</f>
        <v>0.7797938748512071</v>
      </c>
    </row>
    <row r="29" spans="1:6">
      <c r="A29" s="8"/>
      <c r="B29" s="8" t="s">
        <v>153</v>
      </c>
      <c r="C29" s="8" t="s">
        <v>154</v>
      </c>
      <c r="D29" s="8" t="s">
        <v>155</v>
      </c>
      <c r="E29" s="8" t="s">
        <v>156</v>
      </c>
      <c r="F29" s="8" t="s">
        <v>157</v>
      </c>
    </row>
    <row r="30" spans="1:6">
      <c r="A30" s="9" t="s">
        <v>158</v>
      </c>
      <c r="B30" s="15">
        <f>(((('DCF'!B14/((1+0.105)^1))+('DCF'!C14/((1+0.105)^2))+('DCF'!D14/((1+0.105)^3))+('DCF'!E14/((1+0.105)^4))+('DCF'!F14/((1+0.105)^5)))+((('DCF'!F14*(1+0.03))/(0.105-0.03))/((1+0.105)^5)))+'Balance Sheet'!D7)</f>
        <v>666233.8204266398</v>
      </c>
      <c r="C30" s="15">
        <f>(((('DCF'!B14/((1+0.105)^1))+('DCF'!C14/((1+0.105)^2))+('DCF'!D14/((1+0.105)^3))+('DCF'!E14/((1+0.105)^4))+('DCF'!F14/((1+0.105)^5)))+((('DCF'!F14*(1+0.035))/(0.105-0.035))/((1+0.105)^5)))+'Balance Sheet'!D7)</f>
        <v>701242.5012513101</v>
      </c>
      <c r="D30" s="15">
        <f>(((('DCF'!B14/((1+0.105)^1))+('DCF'!C14/((1+0.105)^2))+('DCF'!D14/((1+0.105)^3))+('DCF'!E14/((1+0.105)^4))+('DCF'!F14/((1+0.105)^5)))+((('DCF'!F14*(1+0.04))/(0.105-0.04))/((1+0.105)^5)))+'Balance Sheet'!D7)</f>
        <v>741637.1329720835</v>
      </c>
      <c r="E30" s="15">
        <f>(((('DCF'!B14/((1+0.105)^1))+('DCF'!C14/((1+0.105)^2))+('DCF'!D14/((1+0.105)^3))+('DCF'!E14/((1+0.105)^4))+('DCF'!F14/((1+0.105)^5)))+((('DCF'!F14*(1+0.045))/(0.105-0.045))/((1+0.105)^5)))+'Balance Sheet'!D7)</f>
        <v>788764.203312986</v>
      </c>
      <c r="F30" s="15">
        <f>(((('DCF'!B14/((1+0.105)^1))+('DCF'!C14/((1+0.105)^2))+('DCF'!D14/((1+0.105)^3))+('DCF'!E14/((1+0.105)^4))+('DCF'!F14/((1+0.105)^5)))+((('DCF'!F14*(1+0.05))/(0.105-0.05))/((1+0.105)^5)))+'Balance Sheet'!D7)</f>
        <v>844459.8318976889</v>
      </c>
    </row>
    <row r="31" spans="1:6">
      <c r="A31" s="9" t="s">
        <v>159</v>
      </c>
      <c r="B31" s="15">
        <f>(((('DCF'!B14/((1+0.11)^1))+('DCF'!C14/((1+0.11)^2))+('DCF'!D14/((1+0.11)^3))+('DCF'!E14/((1+0.11)^4))+('DCF'!F14/((1+0.11)^5)))+((('DCF'!F14*(1+0.03))/(0.11-0.03))/((1+0.11)^5)))+'Balance Sheet'!D7)</f>
        <v>626199.7924825681</v>
      </c>
      <c r="C31" s="15">
        <f>(((('DCF'!B14/((1+0.11)^1))+('DCF'!C14/((1+0.11)^2))+('DCF'!D14/((1+0.11)^3))+('DCF'!E14/((1+0.11)^4))+('DCF'!F14/((1+0.11)^5)))+((('DCF'!F14*(1+0.035))/(0.11-0.035))/((1+0.11)^5)))+'Balance Sheet'!D7)</f>
        <v>656284.1676712525</v>
      </c>
      <c r="D31" s="15">
        <f>(((('DCF'!B14/((1+0.11)^1))+('DCF'!C14/((1+0.11)^2))+('DCF'!D14/((1+0.11)^3))+('DCF'!E14/((1+0.11)^4))+('DCF'!F14/((1+0.11)^5)))+((('DCF'!F14*(1+0.04))/(0.11-0.04))/((1+0.11)^5)))+'Balance Sheet'!D7)</f>
        <v>690666.3107440347</v>
      </c>
      <c r="E31" s="15">
        <f>(((('DCF'!B14/((1+0.11)^1))+('DCF'!C14/((1+0.11)^2))+('DCF'!D14/((1+0.11)^3))+('DCF'!E14/((1+0.11)^4))+('DCF'!F14/((1+0.11)^5)))+((('DCF'!F14*(1+0.045))/(0.11-0.045))/((1+0.11)^5)))+'Balance Sheet'!D7)</f>
        <v>730338.0142895526</v>
      </c>
      <c r="F31" s="15">
        <f>(((('DCF'!B14/((1+0.11)^1))+('DCF'!C14/((1+0.11)^2))+('DCF'!D14/((1+0.11)^3))+('DCF'!E14/((1+0.11)^4))+('DCF'!F14/((1+0.11)^5)))+((('DCF'!F14*(1+0.05))/(0.11-0.05))/((1+0.11)^5)))+'Balance Sheet'!D7)</f>
        <v>776621.6684259902</v>
      </c>
    </row>
    <row r="32" spans="1:6">
      <c r="A32" s="9" t="s">
        <v>160</v>
      </c>
      <c r="B32" s="15">
        <f>(((('DCF'!B14/((1+0.115)^1))+('DCF'!C14/((1+0.115)^2))+('DCF'!D14/((1+0.115)^3))+('DCF'!E14/((1+0.115)^4))+('DCF'!F14/((1+0.115)^5)))+((('DCF'!F14*(1+0.03))/(0.115-0.03))/((1+0.115)^5)))+'Balance Sheet'!D7)</f>
        <v>590931.4091862866</v>
      </c>
      <c r="C32" s="15">
        <f>(((('DCF'!B14/((1+0.115)^1))+('DCF'!C14/((1+0.115)^2))+('DCF'!D14/((1+0.115)^3))+('DCF'!E14/((1+0.115)^4))+('DCF'!F14/((1+0.115)^5)))+((('DCF'!F14*(1+0.035))/(0.115-0.035))/((1+0.115)^5)))+'Balance Sheet'!D7)</f>
        <v>617003.495156643</v>
      </c>
      <c r="D32" s="15">
        <f>(((('DCF'!B14/((1+0.115)^1))+('DCF'!C14/((1+0.115)^2))+('DCF'!D14/((1+0.115)^3))+('DCF'!E14/((1+0.115)^4))+('DCF'!F14/((1+0.115)^5)))+((('DCF'!F14*(1+0.04))/(0.115-0.04))/((1+0.115)^5)))+'Balance Sheet'!D7)</f>
        <v>646551.8592563801</v>
      </c>
      <c r="E32" s="15">
        <f>(((('DCF'!B14/((1+0.115)^1))+('DCF'!C14/((1+0.115)^2))+('DCF'!D14/((1+0.115)^3))+('DCF'!E14/((1+0.115)^4))+('DCF'!F14/((1+0.115)^5)))+((('DCF'!F14*(1+0.045))/(0.115-0.045))/((1+0.115)^5)))+'Balance Sheet'!D7)</f>
        <v>680321.4182275083</v>
      </c>
      <c r="F32" s="15">
        <f>(((('DCF'!B14/((1+0.115)^1))+('DCF'!C14/((1+0.115)^2))+('DCF'!D14/((1+0.115)^3))+('DCF'!E14/((1+0.115)^4))+('DCF'!F14/((1+0.115)^5)))+((('DCF'!F14*(1+0.05))/(0.115-0.05))/((1+0.115)^5)))+'Balance Sheet'!D7)</f>
        <v>719286.2939634257</v>
      </c>
    </row>
    <row r="33" spans="1:6">
      <c r="A33" s="9" t="s">
        <v>161</v>
      </c>
      <c r="B33" s="15">
        <f>(((('DCF'!B14/((1+0.12)^1))+('DCF'!C14/((1+0.12)^2))+('DCF'!D14/((1+0.12)^3))+('DCF'!E14/((1+0.12)^4))+('DCF'!F14/((1+0.12)^5)))+((('DCF'!F14*(1+0.03))/(0.12-0.03))/((1+0.12)^5)))+'Balance Sheet'!D7)</f>
        <v>559633.2048120269</v>
      </c>
      <c r="C33" s="15">
        <f>(((('DCF'!B14/((1+0.12)^1))+('DCF'!C14/((1+0.12)^2))+('DCF'!D14/((1+0.12)^3))+('DCF'!E14/((1+0.12)^4))+('DCF'!F14/((1+0.12)^5)))+((('DCF'!F14*(1+0.035))/(0.12-0.035))/((1+0.12)^5)))+'Balance Sheet'!D7)</f>
        <v>582397.3127358085</v>
      </c>
      <c r="D33" s="15">
        <f>(((('DCF'!B14/((1+0.12)^1))+('DCF'!C14/((1+0.12)^2))+('DCF'!D14/((1+0.12)^3))+('DCF'!E14/((1+0.12)^4))+('DCF'!F14/((1+0.12)^5)))+((('DCF'!F14*(1+0.04))/(0.12-0.04))/((1+0.12)^5)))+'Balance Sheet'!D7)</f>
        <v>608006.9341500631</v>
      </c>
      <c r="E33" s="15">
        <f>(((('DCF'!B14/((1+0.12)^1))+('DCF'!C14/((1+0.12)^2))+('DCF'!D14/((1+0.12)^3))+('DCF'!E14/((1+0.12)^4))+('DCF'!F14/((1+0.12)^5)))+((('DCF'!F14*(1+0.045))/(0.12-0.045))/((1+0.12)^5)))+'Balance Sheet'!D7)</f>
        <v>637031.1717528846</v>
      </c>
      <c r="F33" s="15">
        <f>(((('DCF'!B14/((1+0.12)^1))+('DCF'!C14/((1+0.12)^2))+('DCF'!D14/((1+0.12)^3))+('DCF'!E14/((1+0.12)^4))+('DCF'!F14/((1+0.12)^5)))+((('DCF'!F14*(1+0.05))/(0.12-0.05))/((1+0.12)^5)))+'Balance Sheet'!D7)</f>
        <v>670201.7290132525</v>
      </c>
    </row>
    <row r="34" spans="1:6">
      <c r="A34" s="9" t="s">
        <v>162</v>
      </c>
      <c r="B34" s="15">
        <f>(((('DCF'!B14/((1+0.125)^1))+('DCF'!C14/((1+0.125)^2))+('DCF'!D14/((1+0.125)^3))+('DCF'!E14/((1+0.125)^4))+('DCF'!F14/((1+0.125)^5)))+((('DCF'!F14*(1+0.03))/(0.125-0.03))/((1+0.125)^5)))+'Balance Sheet'!D7)</f>
        <v>531677.2113313191</v>
      </c>
      <c r="C34" s="15">
        <f>(((('DCF'!B14/((1+0.125)^1))+('DCF'!C14/((1+0.125)^2))+('DCF'!D14/((1+0.125)^3))+('DCF'!E14/((1+0.125)^4))+('DCF'!F14/((1+0.125)^5)))+((('DCF'!F14*(1+0.035))/(0.125-0.035))/((1+0.125)^5)))+'Balance Sheet'!D7)</f>
        <v>551685.4084437338</v>
      </c>
      <c r="D34" s="15">
        <f>(((('DCF'!B14/((1+0.125)^1))+('DCF'!C14/((1+0.125)^2))+('DCF'!D14/((1+0.125)^3))+('DCF'!E14/((1+0.125)^4))+('DCF'!F14/((1+0.125)^5)))+((('DCF'!F14*(1+0.04))/(0.125-0.04))/((1+0.125)^5)))+'Balance Sheet'!D7)</f>
        <v>574047.5110987858</v>
      </c>
      <c r="E34" s="15">
        <f>(((('DCF'!B14/((1+0.125)^1))+('DCF'!C14/((1+0.125)^2))+('DCF'!D14/((1+0.125)^3))+('DCF'!E14/((1+0.125)^4))+('DCF'!F14/((1+0.125)^5)))+((('DCF'!F14*(1+0.045))/(0.125-0.045))/((1+0.125)^5)))+'Balance Sheet'!D7)</f>
        <v>599204.8765857191</v>
      </c>
      <c r="F34" s="15">
        <f>(((('DCF'!B14/((1+0.125)^1))+('DCF'!C14/((1+0.125)^2))+('DCF'!D14/((1+0.125)^3))+('DCF'!E14/((1+0.125)^4))+('DCF'!F14/((1+0.125)^5)))+((('DCF'!F14*(1+0.05))/(0.125-0.05))/((1+0.125)^5)))+'Balance Sheet'!D7)</f>
        <v>627716.5574709103</v>
      </c>
    </row>
  </sheetData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showGridLines="0" workbookViewId="0"/>
  </sheetViews>
  <sheetFormatPr defaultRowHeight="15"/>
  <cols>
    <col min="1" max="1" width="46.7109375" customWidth="1"/>
    <col min="2" max="4" width="16.7109375" customWidth="1"/>
  </cols>
  <sheetData>
    <row r="1" spans="1:3">
      <c r="A1" s="1" t="s">
        <v>16</v>
      </c>
    </row>
    <row r="3" spans="1:3">
      <c r="A3" s="16" t="s">
        <v>163</v>
      </c>
      <c r="B3" s="16" t="str">
        <f>IF(COUNTIF(C5:C28,"CHECK")=0,"ALL OK","CHECK FAILURES")</f>
        <v>ALL OK</v>
      </c>
    </row>
    <row r="4" spans="1:3">
      <c r="A4" s="8" t="s">
        <v>164</v>
      </c>
      <c r="B4" s="8" t="s">
        <v>165</v>
      </c>
      <c r="C4" s="8" t="s">
        <v>166</v>
      </c>
    </row>
    <row r="5" spans="1:3">
      <c r="A5" s="9" t="s">
        <v>167</v>
      </c>
      <c r="B5" s="29">
        <f>('Balance Sheet'!B12)-('Balance Sheet'!B22)</f>
        <v>0.0</v>
      </c>
      <c r="C5" s="9" t="str">
        <f>IF(ABS(B5)&lt;0.5,"OK","CHECK")</f>
        <v>OK</v>
      </c>
    </row>
    <row r="6" spans="1:3">
      <c r="A6" s="9" t="s">
        <v>168</v>
      </c>
      <c r="B6" s="29">
        <f>('Balance Sheet'!C12)-('Balance Sheet'!C22)</f>
        <v>1.4551915228366852e-11</v>
      </c>
      <c r="C6" s="9" t="str">
        <f>IF(ABS(B6)&lt;0.5,"OK","CHECK")</f>
        <v>OK</v>
      </c>
    </row>
    <row r="7" spans="1:3">
      <c r="A7" s="9" t="s">
        <v>169</v>
      </c>
      <c r="B7" s="29">
        <f>('Balance Sheet'!D12)-('Balance Sheet'!D22)</f>
        <v>2.9103830456733704e-11</v>
      </c>
      <c r="C7" s="9" t="str">
        <f>IF(ABS(B7)&lt;0.5,"OK","CHECK")</f>
        <v>OK</v>
      </c>
    </row>
    <row r="8" spans="1:3">
      <c r="A8" s="9" t="s">
        <v>170</v>
      </c>
      <c r="B8" s="29">
        <f>('Cash Flow'!B19)-('Balance Sheet'!B7)</f>
        <v>0.0</v>
      </c>
      <c r="C8" s="9" t="str">
        <f>IF(ABS(B8)&lt;0.5,"OK","CHECK")</f>
        <v>OK</v>
      </c>
    </row>
    <row r="9" spans="1:3">
      <c r="A9" s="9" t="s">
        <v>171</v>
      </c>
      <c r="B9" s="29">
        <f>('Cash Flow'!C19)-('Balance Sheet'!C7)</f>
        <v>0.0</v>
      </c>
      <c r="C9" s="9" t="str">
        <f>IF(ABS(B9)&lt;0.5,"OK","CHECK")</f>
        <v>OK</v>
      </c>
    </row>
    <row r="10" spans="1:3">
      <c r="A10" s="9" t="s">
        <v>172</v>
      </c>
      <c r="B10" s="29">
        <f>('Cash Flow'!D19)-('Balance Sheet'!D7)</f>
        <v>0.0</v>
      </c>
      <c r="C10" s="9" t="str">
        <f>IF(ABS(B10)&lt;0.5,"OK","CHECK")</f>
        <v>OK</v>
      </c>
    </row>
    <row r="11" spans="1:3">
      <c r="A11" s="9" t="s">
        <v>173</v>
      </c>
      <c r="B11" s="29">
        <f>('Income Statement'!B20)-('Cash Flow'!B6)</f>
        <v>0.0</v>
      </c>
      <c r="C11" s="9" t="str">
        <f>IF(ABS(B11)&lt;0.5,"OK","CHECK")</f>
        <v>OK</v>
      </c>
    </row>
    <row r="12" spans="1:3">
      <c r="A12" s="9" t="s">
        <v>174</v>
      </c>
      <c r="B12" s="29">
        <f>('Income Statement'!C20)-('Cash Flow'!C6)</f>
        <v>0.0</v>
      </c>
      <c r="C12" s="9" t="str">
        <f>IF(ABS(B12)&lt;0.5,"OK","CHECK")</f>
        <v>OK</v>
      </c>
    </row>
    <row r="13" spans="1:3">
      <c r="A13" s="9" t="s">
        <v>175</v>
      </c>
      <c r="B13" s="29">
        <f>('Income Statement'!D20)-('Cash Flow'!D6)</f>
        <v>0.0</v>
      </c>
      <c r="C13" s="9" t="str">
        <f>IF(ABS(B13)&lt;0.5,"OK","CHECK")</f>
        <v>OK</v>
      </c>
    </row>
    <row r="14" spans="1:3">
      <c r="A14" s="9" t="s">
        <v>176</v>
      </c>
      <c r="B14" s="29">
        <f>('Cash Flow'!B18)-('Assumptions'!B30)</f>
        <v>0.0</v>
      </c>
      <c r="C14" s="9" t="str">
        <f>IF(ABS(B14)&lt;0.5,"OK","CHECK")</f>
        <v>OK</v>
      </c>
    </row>
    <row r="15" spans="1:3">
      <c r="A15" s="9" t="s">
        <v>177</v>
      </c>
      <c r="B15" s="29">
        <f>('Cash Flow'!C18)-('Cash Flow'!B19)</f>
        <v>0.0</v>
      </c>
      <c r="C15" s="9" t="str">
        <f>IF(ABS(B15)&lt;0.5,"OK","CHECK")</f>
        <v>OK</v>
      </c>
    </row>
    <row r="16" spans="1:3">
      <c r="A16" s="9" t="s">
        <v>178</v>
      </c>
      <c r="B16" s="29">
        <f>('Cash Flow'!D18)-('Cash Flow'!C19)</f>
        <v>0.0</v>
      </c>
      <c r="C16" s="9" t="str">
        <f>IF(ABS(B16)&lt;0.5,"OK","CHECK")</f>
        <v>OK</v>
      </c>
    </row>
    <row r="17" spans="1:3">
      <c r="A17" s="9" t="s">
        <v>179</v>
      </c>
      <c r="B17" s="29">
        <f>('Balance Sheet'!B20)-(('Assumptions'!B38+'Income Statement'!B20))</f>
        <v>0.0</v>
      </c>
      <c r="C17" s="9" t="str">
        <f>IF(ABS(B17)&lt;0.5,"OK","CHECK")</f>
        <v>OK</v>
      </c>
    </row>
    <row r="18" spans="1:3">
      <c r="A18" s="9" t="s">
        <v>180</v>
      </c>
      <c r="B18" s="29">
        <f>('Balance Sheet'!C20)-(('Balance Sheet'!B20+'Income Statement'!C20))</f>
        <v>0.0</v>
      </c>
      <c r="C18" s="9" t="str">
        <f>IF(ABS(B18)&lt;0.5,"OK","CHECK")</f>
        <v>OK</v>
      </c>
    </row>
    <row r="19" spans="1:3">
      <c r="A19" s="9" t="s">
        <v>181</v>
      </c>
      <c r="B19" s="29">
        <f>('Balance Sheet'!D20)-(('Balance Sheet'!C20+'Income Statement'!D20))</f>
        <v>0.0</v>
      </c>
      <c r="C19" s="9" t="str">
        <f>IF(ABS(B19)&lt;0.5,"OK","CHECK")</f>
        <v>OK</v>
      </c>
    </row>
    <row r="20" spans="1:3">
      <c r="A20" s="9" t="s">
        <v>182</v>
      </c>
      <c r="B20" s="29">
        <f>('Income Statement'!B8)-(('Income Statement'!B6+'Income Statement'!B7))</f>
        <v>0.0</v>
      </c>
      <c r="C20" s="9" t="str">
        <f>IF(ABS(B20)&lt;0.5,"OK","CHECK")</f>
        <v>OK</v>
      </c>
    </row>
    <row r="21" spans="1:3">
      <c r="A21" s="9" t="s">
        <v>183</v>
      </c>
      <c r="B21" s="29">
        <f>('Income Statement'!C8)-(('Income Statement'!C6+'Income Statement'!C7))</f>
        <v>0.0</v>
      </c>
      <c r="C21" s="9" t="str">
        <f>IF(ABS(B21)&lt;0.5,"OK","CHECK")</f>
        <v>OK</v>
      </c>
    </row>
    <row r="22" spans="1:3">
      <c r="A22" s="9" t="s">
        <v>184</v>
      </c>
      <c r="B22" s="29">
        <f>('Income Statement'!D8)-(('Income Statement'!D6+'Income Statement'!D7))</f>
        <v>0.0</v>
      </c>
      <c r="C22" s="9" t="str">
        <f>IF(ABS(B22)&lt;0.5,"OK","CHECK")</f>
        <v>OK</v>
      </c>
    </row>
    <row r="23" spans="1:3">
      <c r="A23" s="9" t="s">
        <v>185</v>
      </c>
      <c r="B23" s="29">
        <f>('Balance Sheet'!B10)-(('Balance Sheet'!B7+'Balance Sheet'!B8+'Balance Sheet'!B9))</f>
        <v>0.0</v>
      </c>
      <c r="C23" s="9" t="str">
        <f>IF(ABS(B23)&lt;0.5,"OK","CHECK")</f>
        <v>OK</v>
      </c>
    </row>
    <row r="24" spans="1:3">
      <c r="A24" s="9" t="s">
        <v>186</v>
      </c>
      <c r="B24" s="29">
        <f>('Balance Sheet'!C10)-(('Balance Sheet'!C7+'Balance Sheet'!C8+'Balance Sheet'!C9))</f>
        <v>0.0</v>
      </c>
      <c r="C24" s="9" t="str">
        <f>IF(ABS(B24)&lt;0.5,"OK","CHECK")</f>
        <v>OK</v>
      </c>
    </row>
    <row r="25" spans="1:3">
      <c r="A25" s="9" t="s">
        <v>187</v>
      </c>
      <c r="B25" s="29">
        <f>('Balance Sheet'!D10)-(('Balance Sheet'!D7+'Balance Sheet'!D8+'Balance Sheet'!D9))</f>
        <v>0.0</v>
      </c>
      <c r="C25" s="9" t="str">
        <f>IF(ABS(B25)&lt;0.5,"OK","CHECK")</f>
        <v>OK</v>
      </c>
    </row>
    <row r="26" spans="1:3">
      <c r="A26" s="9" t="s">
        <v>188</v>
      </c>
      <c r="B26" s="29">
        <f>('Balance Sheet'!B17)-(('Balance Sheet'!B14+'Balance Sheet'!B15+'Balance Sheet'!B16))</f>
        <v>0.0</v>
      </c>
      <c r="C26" s="9" t="str">
        <f>IF(ABS(B26)&lt;0.5,"OK","CHECK")</f>
        <v>OK</v>
      </c>
    </row>
    <row r="27" spans="1:3">
      <c r="A27" s="9" t="s">
        <v>189</v>
      </c>
      <c r="B27" s="29">
        <f>('Balance Sheet'!C17)-(('Balance Sheet'!C14+'Balance Sheet'!C15+'Balance Sheet'!C16))</f>
        <v>0.0</v>
      </c>
      <c r="C27" s="9" t="str">
        <f>IF(ABS(B27)&lt;0.5,"OK","CHECK")</f>
        <v>OK</v>
      </c>
    </row>
    <row r="28" spans="1:3">
      <c r="A28" s="9" t="s">
        <v>190</v>
      </c>
      <c r="B28" s="29">
        <f>('Balance Sheet'!D17)-(('Balance Sheet'!D14+'Balance Sheet'!D15+'Balance Sheet'!D16))</f>
        <v>0.0</v>
      </c>
      <c r="C28" s="9" t="str">
        <f>IF(ABS(B28)&lt;0.5,"OK","CHECK")</f>
        <v>OK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Income Statement</vt:lpstr>
      <vt:lpstr>Balance Sheet</vt:lpstr>
      <vt:lpstr>Cash Flow</vt:lpstr>
      <vt:lpstr>Ratios</vt:lpstr>
      <vt:lpstr>SaaS Metrics</vt:lpstr>
      <vt:lpstr>DCF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Lumenpath Software, Inc. FY2025 Financial Model</dc:title>
  <dc:subject/>
  <dc:creator>George Murad</dc:creator>
  <cp:keywords/>
  <dc:description/>
  <cp:lastModifiedBy>George Murad</cp:lastModifiedBy>
  <dcterms:created xsi:type="dcterms:W3CDTF">2026-09-28T07:17:32Z</dcterms:created>
  <dcterms:modified xsi:type="dcterms:W3CDTF">2026-09-28T07:17:32Z</dcterms:modified>
</cp:coreProperties>
</file>