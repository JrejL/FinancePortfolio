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ver" sheetId="1" r:id="rId1"/>
    <sheet name="Assumptions" sheetId="2" r:id="rId2"/>
    <sheet name="Income Statement" sheetId="3" r:id="rId3"/>
    <sheet name="Balance Sheet" sheetId="4" r:id="rId4"/>
    <sheet name="Cash Flow" sheetId="5" r:id="rId5"/>
    <sheet name="Ratios" sheetId="6" r:id="rId6"/>
    <sheet name="Unit Economics" sheetId="7" r:id="rId7"/>
    <sheet name="Cohorts" sheetId="8" r:id="rId8"/>
    <sheet name="Budget vs Actual" sheetId="9" r:id="rId9"/>
    <sheet name="Checks" sheetId="10" r:id="rId10"/>
  </sheets>
  <calcPr calcId="124519" fullCalcOnLoad="1"/>
</workbook>
</file>

<file path=xl/sharedStrings.xml><?xml version="1.0" encoding="utf-8"?>
<sst xmlns="http://schemas.openxmlformats.org/spreadsheetml/2006/main" count="261" uniqueCount="200">
  <si>
    <t>Sunfield Kitchen Group</t>
  </si>
  <si>
    <t>Fast casual kitchens across Southern California</t>
  </si>
  <si>
    <t>Fiscal years covered: FY2023, FY2024, FY2025</t>
  </si>
  <si>
    <t>Industry: Restaurants (fast casual)</t>
  </si>
  <si>
    <t>Role fit: FP&amp;A, Business analysis, Operations finance</t>
  </si>
  <si>
    <t>Fictional company. All figures are illustrative and were built for this portfolio.</t>
  </si>
  <si>
    <t>Prepared by George Murad</t>
  </si>
  <si>
    <t>Contents</t>
  </si>
  <si>
    <t>Cover</t>
  </si>
  <si>
    <t>Assumptions</t>
  </si>
  <si>
    <t>Income Statement</t>
  </si>
  <si>
    <t>Balance Sheet</t>
  </si>
  <si>
    <t>Cash Flow</t>
  </si>
  <si>
    <t>Ratios</t>
  </si>
  <si>
    <t>Unit Economics</t>
  </si>
  <si>
    <t>Cohorts</t>
  </si>
  <si>
    <t>Budget vs Actual</t>
  </si>
  <si>
    <t>Checks</t>
  </si>
  <si>
    <t>Color legend</t>
  </si>
  <si>
    <t>Hardcoded input</t>
  </si>
  <si>
    <t>Formula, same sheet</t>
  </si>
  <si>
    <t>Formula, pulls from another sheet</t>
  </si>
  <si>
    <t>($ in thousands)</t>
  </si>
  <si>
    <t>FY2023</t>
  </si>
  <si>
    <t>FY2024</t>
  </si>
  <si>
    <t>FY2025</t>
  </si>
  <si>
    <t>Restaurants open, start of FY2023</t>
  </si>
  <si>
    <t>Restaurant openings</t>
  </si>
  <si>
    <t>Average unit volume (full year sales per restaurant)</t>
  </si>
  <si>
    <t>New restaurant opening year sales factor</t>
  </si>
  <si>
    <t>Same restaurant sales growth</t>
  </si>
  <si>
    <t>Food and packaging, % of sales</t>
  </si>
  <si>
    <t>Labor and benefits, % of sales</t>
  </si>
  <si>
    <t>Occupancy, % of sales</t>
  </si>
  <si>
    <t>Other operating, % of sales</t>
  </si>
  <si>
    <t>General and administrative, % of sales</t>
  </si>
  <si>
    <t>Preopening cost per opening</t>
  </si>
  <si>
    <t>Depreciation and amortization, % of sales</t>
  </si>
  <si>
    <t>Capital expenditures per opening</t>
  </si>
  <si>
    <t>Maintenance capital expenditures, % of sales</t>
  </si>
  <si>
    <t>Term loan, opening balance</t>
  </si>
  <si>
    <t>Term loan, annual repayment</t>
  </si>
  <si>
    <t>Term loan interest rate</t>
  </si>
  <si>
    <t>Revolver capacity</t>
  </si>
  <si>
    <t>Revolver interest rate</t>
  </si>
  <si>
    <t>Minimum cash</t>
  </si>
  <si>
    <t>Income tax rate</t>
  </si>
  <si>
    <t>Right of use asset per restaurant open at year end</t>
  </si>
  <si>
    <t>Lease liability multiple of right of use assets</t>
  </si>
  <si>
    <t>Inventory, % of sales</t>
  </si>
  <si>
    <t>Receivables, % of sales</t>
  </si>
  <si>
    <t>Prepaid, % of sales</t>
  </si>
  <si>
    <t>Accounts payable, % of sales</t>
  </si>
  <si>
    <t>Accrued wages and taxes, % of sales</t>
  </si>
  <si>
    <t>Gift card liability, % of sales</t>
  </si>
  <si>
    <t>Opening balance sheet FY2022: Cash</t>
  </si>
  <si>
    <t>Opening balance sheet FY2022: Receivables</t>
  </si>
  <si>
    <t>Opening balance sheet FY2022: Inventory</t>
  </si>
  <si>
    <t>Opening balance sheet FY2022: Prepaid</t>
  </si>
  <si>
    <t>Opening balance sheet FY2022: Property, plant and equipment, net</t>
  </si>
  <si>
    <t>Opening balance sheet FY2022: Right of use assets</t>
  </si>
  <si>
    <t>Opening balance sheet FY2022: Accounts payable</t>
  </si>
  <si>
    <t>Opening balance sheet FY2022: Accrued wages and taxes</t>
  </si>
  <si>
    <t>Opening balance sheet FY2022: Gift card liability</t>
  </si>
  <si>
    <t>Opening balance sheet FY2022: Operating lease liabilities</t>
  </si>
  <si>
    <t>Opening balance sheet FY2022: Revolver</t>
  </si>
  <si>
    <t>Opening balance sheet FY2022: Term loan</t>
  </si>
  <si>
    <t>Opening balance sheet FY2022: Common stock and paid in capital</t>
  </si>
  <si>
    <t>Opening balance sheet FY2022: Accumulated deficit</t>
  </si>
  <si>
    <t>($ in thousands)  For the years ended December 31</t>
  </si>
  <si>
    <t>Restaurant sales</t>
  </si>
  <si>
    <t>Food and packaging</t>
  </si>
  <si>
    <t>Labor and benefits</t>
  </si>
  <si>
    <t>Occupancy</t>
  </si>
  <si>
    <t>Other operating</t>
  </si>
  <si>
    <t>Restaurant level profit</t>
  </si>
  <si>
    <t>General and administrative</t>
  </si>
  <si>
    <t>Preopening costs</t>
  </si>
  <si>
    <t>EBITDA</t>
  </si>
  <si>
    <t>Depreciation and amortization</t>
  </si>
  <si>
    <t>Operating income</t>
  </si>
  <si>
    <t>Interest expense</t>
  </si>
  <si>
    <t>Income before taxes</t>
  </si>
  <si>
    <t>Income tax expense</t>
  </si>
  <si>
    <t>Net income</t>
  </si>
  <si>
    <t>Restaurant level margin</t>
  </si>
  <si>
    <t>EBITDA margin</t>
  </si>
  <si>
    <t>Restaurants at year end</t>
  </si>
  <si>
    <t>($ in thousands)  As of December 31</t>
  </si>
  <si>
    <t>Assets</t>
  </si>
  <si>
    <t>Cash and cash equivalents</t>
  </si>
  <si>
    <t>Receivables</t>
  </si>
  <si>
    <t>Inventory</t>
  </si>
  <si>
    <t>Prepaid expenses</t>
  </si>
  <si>
    <t>Total current assets</t>
  </si>
  <si>
    <t>Property, plant and equipment, net</t>
  </si>
  <si>
    <t>Right of use assets</t>
  </si>
  <si>
    <t>Total assets</t>
  </si>
  <si>
    <t>Liabilities</t>
  </si>
  <si>
    <t>Accounts payable</t>
  </si>
  <si>
    <t>Accrued wages and taxes</t>
  </si>
  <si>
    <t>Gift card liability</t>
  </si>
  <si>
    <t>Total current liabilities</t>
  </si>
  <si>
    <t>Operating lease liabilities</t>
  </si>
  <si>
    <t>Revolver</t>
  </si>
  <si>
    <t>Term loan</t>
  </si>
  <si>
    <t>Total liabilities</t>
  </si>
  <si>
    <t>Equity</t>
  </si>
  <si>
    <t>Common stock and paid in capital</t>
  </si>
  <si>
    <t>Accumulated deficit</t>
  </si>
  <si>
    <t>Total equity</t>
  </si>
  <si>
    <t>Total liabilities and equity</t>
  </si>
  <si>
    <t>Cash Flow Statement</t>
  </si>
  <si>
    <t>Noncash lease adjustment</t>
  </si>
  <si>
    <t>(Increase) decrease in receivables</t>
  </si>
  <si>
    <t>(Increase) decrease in inventory</t>
  </si>
  <si>
    <t>(Increase) decrease in prepaid expenses</t>
  </si>
  <si>
    <t>Increase (decrease) in accounts payable</t>
  </si>
  <si>
    <t>Increase (decrease) in accrued wages and taxes</t>
  </si>
  <si>
    <t>Increase (decrease) in gift card liability</t>
  </si>
  <si>
    <t>Cash from operating activities</t>
  </si>
  <si>
    <t>Capital expenditures</t>
  </si>
  <si>
    <t>Cash from investing activities</t>
  </si>
  <si>
    <t>Term loan repayment</t>
  </si>
  <si>
    <t>Revolver draw (repayment)</t>
  </si>
  <si>
    <t>Cash from financing activities</t>
  </si>
  <si>
    <t>Net change in cash</t>
  </si>
  <si>
    <t>Beginning cash</t>
  </si>
  <si>
    <t>Ending cash</t>
  </si>
  <si>
    <t>Cash before revolver</t>
  </si>
  <si>
    <t>Operating margin</t>
  </si>
  <si>
    <t>Net margin</t>
  </si>
  <si>
    <t>Revenue growth</t>
  </si>
  <si>
    <t>Current ratio</t>
  </si>
  <si>
    <t>Debt to EBITDA, excluding leases</t>
  </si>
  <si>
    <t>Return on equity</t>
  </si>
  <si>
    <t>Days inventory outstanding</t>
  </si>
  <si>
    <t>Days payable, food and packaging</t>
  </si>
  <si>
    <t>Free cash flow</t>
  </si>
  <si>
    <t>FCF margin</t>
  </si>
  <si>
    <t>n/a</t>
  </si>
  <si>
    <t>New restaurant economics</t>
  </si>
  <si>
    <t>Value</t>
  </si>
  <si>
    <t>Build cost per restaurant</t>
  </si>
  <si>
    <t>Preopening cost per restaurant</t>
  </si>
  <si>
    <t>Total investment per restaurant</t>
  </si>
  <si>
    <t>Mature sales (FY2025 AUV)</t>
  </si>
  <si>
    <t>Restaurant level margin (FY2025)</t>
  </si>
  <si>
    <t>Restaurant level profit per restaurant</t>
  </si>
  <si>
    <t>Cash on cash return</t>
  </si>
  <si>
    <t>Payback, years</t>
  </si>
  <si>
    <t>FY2025 restaurants by opening class</t>
  </si>
  <si>
    <t>Restaurants</t>
  </si>
  <si>
    <t>Sales</t>
  </si>
  <si>
    <t>Sales per restaurant</t>
  </si>
  <si>
    <t>Legacy (opened before FY2023)</t>
  </si>
  <si>
    <t>Class of 2023</t>
  </si>
  <si>
    <t>Class of 2024</t>
  </si>
  <si>
    <t>Class of 2025</t>
  </si>
  <si>
    <t>Total</t>
  </si>
  <si>
    <t>Check: total sales vs FY2025 revenue</t>
  </si>
  <si>
    <t>Check: total profit vs FY2025 restaurant level profit</t>
  </si>
  <si>
    <t>FY2025 budget versus actual, full year</t>
  </si>
  <si>
    <t>Budget</t>
  </si>
  <si>
    <t>Actual</t>
  </si>
  <si>
    <t>Variance</t>
  </si>
  <si>
    <t>Variance %</t>
  </si>
  <si>
    <t>Status</t>
  </si>
  <si>
    <t>Unfavorable</t>
  </si>
  <si>
    <t>Favorable</t>
  </si>
  <si>
    <t>Q1</t>
  </si>
  <si>
    <t>Q2</t>
  </si>
  <si>
    <t>Q3</t>
  </si>
  <si>
    <t>Q4</t>
  </si>
  <si>
    <t>Budget sales</t>
  </si>
  <si>
    <t>Actual sales</t>
  </si>
  <si>
    <t>Overall status</t>
  </si>
  <si>
    <t>Check</t>
  </si>
  <si>
    <t>Difference</t>
  </si>
  <si>
    <t>Balance sheet balances, FY2023</t>
  </si>
  <si>
    <t>Balance sheet balances, FY2024</t>
  </si>
  <si>
    <t>Balance sheet balances, FY2025</t>
  </si>
  <si>
    <t>Cash flow ending cash = balance sheet cash, FY2023</t>
  </si>
  <si>
    <t>Cash flow ending cash = balance sheet cash, FY2024</t>
  </si>
  <si>
    <t>Cash flow ending cash = balance sheet cash, FY2025</t>
  </si>
  <si>
    <t>Net income ties, income statement to cash flow, FY2023</t>
  </si>
  <si>
    <t>Net income ties, income statement to cash flow, FY2024</t>
  </si>
  <si>
    <t>Net income ties, income statement to cash flow, FY2025</t>
  </si>
  <si>
    <t>Beginning cash equals prior year ending cash, FY2023</t>
  </si>
  <si>
    <t>Beginning cash equals prior year ending cash, FY2024</t>
  </si>
  <si>
    <t>Beginning cash equals prior year ending cash, FY2025</t>
  </si>
  <si>
    <t>Accumulated deficit rolls forward, FY2023</t>
  </si>
  <si>
    <t>Accumulated deficit rolls forward, FY2024</t>
  </si>
  <si>
    <t>Accumulated deficit rolls forward, FY2025</t>
  </si>
  <si>
    <t>Total current assets equal their components, FY2023</t>
  </si>
  <si>
    <t>Total current assets equal their components, FY2024</t>
  </si>
  <si>
    <t>Total current assets equal their components, FY2025</t>
  </si>
  <si>
    <t>Total liabilities equal their components, FY2023</t>
  </si>
  <si>
    <t>Total liabilities equal their components, FY2024</t>
  </si>
  <si>
    <t>Total liabilities equal their components, FY2025</t>
  </si>
</sst>
</file>

<file path=xl/styles.xml><?xml version="1.0" encoding="utf-8"?>
<styleSheet xmlns="http://schemas.openxmlformats.org/spreadsheetml/2006/main">
  <numFmts count="7">
    <numFmt numFmtId="164" formatCode="#,##0"/>
    <numFmt numFmtId="165" formatCode="#,##0_);(#,##0);&quot;-&quot;_)"/>
    <numFmt numFmtId="166" formatCode="0.0%"/>
    <numFmt numFmtId="167" formatCode="0.00%"/>
    <numFmt numFmtId="168" formatCode="0.00&quot;x&quot;"/>
    <numFmt numFmtId="169" formatCode="0.0&quot;x&quot;"/>
    <numFmt numFmtId="170" formatCode="0.0"/>
  </numFmts>
  <fonts count="15">
    <font>
      <sz val="11"/>
      <color theme="1"/>
      <name val="Calibri"/>
      <family val="2"/>
      <scheme val="minor"/>
    </font>
    <font>
      <b/>
      <sz val="16"/>
      <color rgb="FF141413"/>
      <name val="Arial"/>
      <family val="2"/>
    </font>
    <font>
      <sz val="10"/>
      <color rgb="FF141413"/>
      <name val="Georgia"/>
      <family val="2"/>
    </font>
    <font>
      <b/>
      <sz val="12"/>
      <color rgb="FF141413"/>
      <name val="Arial"/>
      <family val="2"/>
    </font>
    <font>
      <u/>
      <sz val="11"/>
      <color rgb="FF6A9BCC"/>
      <name val="Georgia"/>
      <family val="2"/>
    </font>
    <font>
      <sz val="10"/>
      <color rgb="FF0000FF"/>
      <name val="Georgia"/>
      <family val="2"/>
    </font>
    <font>
      <sz val="10"/>
      <color rgb="FF008000"/>
      <name val="Georgia"/>
      <family val="2"/>
    </font>
    <font>
      <i/>
      <sz val="9"/>
      <color rgb="FF141413"/>
      <name val="Georgia"/>
      <family val="2"/>
    </font>
    <font>
      <b/>
      <sz val="11"/>
      <color rgb="FFFAF9F5"/>
      <name val="Arial"/>
      <family val="2"/>
    </font>
    <font>
      <sz val="10"/>
      <color rgb="FF141413"/>
      <name val="Georgia"/>
      <family val="2"/>
    </font>
    <font>
      <sz val="10"/>
      <color rgb="FF008000"/>
      <name val="Georgia"/>
      <family val="2"/>
    </font>
    <font>
      <b/>
      <sz val="10"/>
      <color rgb="FF141413"/>
      <name val="Georgia"/>
      <family val="2"/>
    </font>
    <font>
      <b/>
      <sz val="10"/>
      <color rgb="FF000000"/>
      <name val="Georgia"/>
      <family val="2"/>
    </font>
    <font>
      <sz val="10"/>
      <color rgb="FF000000"/>
      <name val="Georgia"/>
      <family val="2"/>
    </font>
    <font>
      <b/>
      <sz val="10"/>
      <color rgb="FF008000"/>
      <name val="Georgia"/>
      <family val="2"/>
    </font>
  </fonts>
  <fills count="3">
    <fill>
      <patternFill patternType="none"/>
    </fill>
    <fill>
      <patternFill patternType="gray125"/>
    </fill>
    <fill>
      <patternFill patternType="solid">
        <fgColor rgb="FF141413"/>
        <bgColor indexed="64"/>
      </patternFill>
    </fill>
  </fills>
  <borders count="3">
    <border>
      <left/>
      <right/>
      <top/>
      <bottom/>
      <diagonal/>
    </border>
    <border>
      <left style="thin">
        <color rgb="FFB0AEA5"/>
      </left>
      <right style="thin">
        <color rgb="FFB0AEA5"/>
      </right>
      <top style="thin">
        <color rgb="FFB0AEA5"/>
      </top>
      <bottom style="thin">
        <color rgb="FFB0AEA5"/>
      </bottom>
      <diagonal/>
    </border>
    <border>
      <left style="thin">
        <color rgb="FFB0AEA5"/>
      </left>
      <right style="thin">
        <color rgb="FFB0AEA5"/>
      </right>
      <top style="thin">
        <color rgb="FFB0AEA5"/>
      </top>
      <bottom style="double">
        <color rgb="FFB0AEA5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2" borderId="1" xfId="0" applyFont="1" applyFill="1" applyBorder="1" applyAlignment="1">
      <alignment horizontal="center" vertical="center" wrapText="1"/>
    </xf>
    <xf numFmtId="0" fontId="9" fillId="0" borderId="1" xfId="0" applyFont="1" applyBorder="1"/>
    <xf numFmtId="164" fontId="5" fillId="0" borderId="1" xfId="0" applyNumberFormat="1" applyFont="1" applyBorder="1"/>
    <xf numFmtId="165" fontId="5" fillId="0" borderId="1" xfId="0" applyNumberFormat="1" applyFont="1" applyBorder="1"/>
    <xf numFmtId="166" fontId="5" fillId="0" borderId="1" xfId="0" applyNumberFormat="1" applyFont="1" applyBorder="1"/>
    <xf numFmtId="167" fontId="5" fillId="0" borderId="1" xfId="0" applyNumberFormat="1" applyFont="1" applyBorder="1"/>
    <xf numFmtId="168" fontId="5" fillId="0" borderId="1" xfId="0" applyNumberFormat="1" applyFont="1" applyBorder="1"/>
    <xf numFmtId="165" fontId="10" fillId="0" borderId="1" xfId="0" applyNumberFormat="1" applyFont="1" applyBorder="1"/>
    <xf numFmtId="0" fontId="11" fillId="0" borderId="1" xfId="0" applyFont="1" applyBorder="1"/>
    <xf numFmtId="165" fontId="12" fillId="0" borderId="1" xfId="0" applyNumberFormat="1" applyFont="1" applyBorder="1"/>
    <xf numFmtId="0" fontId="11" fillId="0" borderId="2" xfId="0" applyFont="1" applyBorder="1"/>
    <xf numFmtId="165" fontId="12" fillId="0" borderId="2" xfId="0" applyNumberFormat="1" applyFont="1" applyBorder="1"/>
    <xf numFmtId="0" fontId="9" fillId="0" borderId="1" xfId="0" applyFont="1" applyBorder="1" applyAlignment="1">
      <alignment horizontal="left" indent="1"/>
    </xf>
    <xf numFmtId="166" fontId="13" fillId="0" borderId="1" xfId="0" applyNumberFormat="1" applyFont="1" applyBorder="1" applyAlignment="1">
      <alignment horizontal="left" indent="1"/>
    </xf>
    <xf numFmtId="164" fontId="10" fillId="0" borderId="1" xfId="0" applyNumberFormat="1" applyFont="1" applyBorder="1" applyAlignment="1">
      <alignment horizontal="left" indent="1"/>
    </xf>
    <xf numFmtId="166" fontId="10" fillId="0" borderId="1" xfId="0" applyNumberFormat="1" applyFont="1" applyBorder="1" applyAlignment="1">
      <alignment horizontal="left" indent="1"/>
    </xf>
    <xf numFmtId="165" fontId="10" fillId="0" borderId="1" xfId="0" applyNumberFormat="1" applyFont="1" applyBorder="1" applyAlignment="1">
      <alignment horizontal="left" indent="1"/>
    </xf>
    <xf numFmtId="0" fontId="11" fillId="0" borderId="1" xfId="0" applyFont="1" applyBorder="1" applyAlignment="1">
      <alignment horizontal="left" indent="1"/>
    </xf>
    <xf numFmtId="165" fontId="12" fillId="0" borderId="1" xfId="0" applyNumberFormat="1" applyFont="1" applyBorder="1" applyAlignment="1">
      <alignment horizontal="left" indent="1"/>
    </xf>
    <xf numFmtId="166" fontId="10" fillId="0" borderId="1" xfId="0" applyNumberFormat="1" applyFont="1" applyBorder="1"/>
    <xf numFmtId="169" fontId="10" fillId="0" borderId="1" xfId="0" applyNumberFormat="1" applyFont="1" applyBorder="1"/>
    <xf numFmtId="170" fontId="10" fillId="0" borderId="1" xfId="0" applyNumberFormat="1" applyFont="1" applyBorder="1"/>
    <xf numFmtId="165" fontId="13" fillId="0" borderId="1" xfId="0" applyNumberFormat="1" applyFont="1" applyBorder="1"/>
    <xf numFmtId="166" fontId="13" fillId="0" borderId="1" xfId="0" applyNumberFormat="1" applyFont="1" applyBorder="1"/>
    <xf numFmtId="170" fontId="13" fillId="0" borderId="1" xfId="0" applyNumberFormat="1" applyFont="1" applyBorder="1"/>
    <xf numFmtId="164" fontId="13" fillId="0" borderId="1" xfId="0" applyNumberFormat="1" applyFont="1" applyBorder="1"/>
    <xf numFmtId="164" fontId="12" fillId="0" borderId="2" xfId="0" applyNumberFormat="1" applyFont="1" applyBorder="1"/>
    <xf numFmtId="166" fontId="12" fillId="0" borderId="2" xfId="0" applyNumberFormat="1" applyFont="1" applyBorder="1"/>
    <xf numFmtId="165" fontId="14" fillId="0" borderId="1" xfId="0" applyNumberFormat="1" applyFont="1" applyBorder="1"/>
    <xf numFmtId="166" fontId="12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2:A29"/>
  <sheetViews>
    <sheetView showGridLines="0" tabSelected="1" workbookViewId="0"/>
  </sheetViews>
  <sheetFormatPr defaultRowHeight="15"/>
  <cols>
    <col min="1" max="1" width="46.7109375" customWidth="1"/>
    <col min="2" max="2" width="60.7109375" customWidth="1"/>
  </cols>
  <sheetData>
    <row r="2" spans="1:1">
      <c r="A2" s="1" t="s">
        <v>0</v>
      </c>
    </row>
    <row r="4" spans="1:1">
      <c r="A4" s="2" t="s">
        <v>1</v>
      </c>
    </row>
    <row r="6" spans="1:1">
      <c r="A6" s="2" t="s">
        <v>2</v>
      </c>
    </row>
    <row r="8" spans="1:1">
      <c r="A8" s="2" t="s">
        <v>3</v>
      </c>
    </row>
    <row r="9" spans="1:1">
      <c r="A9" s="2" t="s">
        <v>4</v>
      </c>
    </row>
    <row r="11" spans="1:1">
      <c r="A11" s="2" t="s">
        <v>5</v>
      </c>
    </row>
    <row r="12" spans="1:1">
      <c r="A12" s="2" t="s">
        <v>6</v>
      </c>
    </row>
    <row r="14" spans="1:1">
      <c r="A14" s="3" t="s">
        <v>7</v>
      </c>
    </row>
    <row r="15" spans="1:1">
      <c r="A15" s="4" t="s">
        <v>8</v>
      </c>
    </row>
    <row r="16" spans="1:1">
      <c r="A16" s="4" t="s">
        <v>9</v>
      </c>
    </row>
    <row r="17" spans="1:1">
      <c r="A17" s="4" t="s">
        <v>10</v>
      </c>
    </row>
    <row r="18" spans="1:1">
      <c r="A18" s="4" t="s">
        <v>11</v>
      </c>
    </row>
    <row r="19" spans="1:1">
      <c r="A19" s="4" t="s">
        <v>12</v>
      </c>
    </row>
    <row r="20" spans="1:1">
      <c r="A20" s="4" t="s">
        <v>13</v>
      </c>
    </row>
    <row r="21" spans="1:1">
      <c r="A21" s="4" t="s">
        <v>14</v>
      </c>
    </row>
    <row r="22" spans="1:1">
      <c r="A22" s="4" t="s">
        <v>15</v>
      </c>
    </row>
    <row r="23" spans="1:1">
      <c r="A23" s="4" t="s">
        <v>16</v>
      </c>
    </row>
    <row r="24" spans="1:1">
      <c r="A24" s="4" t="s">
        <v>17</v>
      </c>
    </row>
    <row r="26" spans="1:1">
      <c r="A26" s="3" t="s">
        <v>18</v>
      </c>
    </row>
    <row r="27" spans="1:1">
      <c r="A27" s="5" t="s">
        <v>19</v>
      </c>
    </row>
    <row r="28" spans="1:1">
      <c r="A28" s="2" t="s">
        <v>20</v>
      </c>
    </row>
    <row r="29" spans="1:1">
      <c r="A29" s="6" t="s">
        <v>21</v>
      </c>
    </row>
  </sheetData>
  <hyperlinks>
    <hyperlink ref="A15" location="'Cover'!A1" display="Cover"/>
    <hyperlink ref="A16" location="'Assumptions'!A1" display="Assumptions"/>
    <hyperlink ref="A17" location="'Income Statement'!A1" display="Income Statement"/>
    <hyperlink ref="A18" location="'Balance Sheet'!A1" display="Balance Sheet"/>
    <hyperlink ref="A19" location="'Cash Flow'!A1" display="Cash Flow"/>
    <hyperlink ref="A20" location="'Ratios'!A1" display="Ratios"/>
    <hyperlink ref="A21" location="'Unit Economics'!A1" display="Unit Economics"/>
    <hyperlink ref="A22" location="'Cohorts'!A1" display="Cohorts"/>
    <hyperlink ref="A23" location="'Budget vs Actual'!A1" display="Budget vs Actual"/>
    <hyperlink ref="A24" location="'Checks'!A1" display="Checks"/>
  </hyperlinks>
  <pageMargins left="0.7" right="0.7" top="0.75" bottom="0.75" header="0.3" footer="0.3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48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62.7109375" customWidth="1"/>
    <col min="2" max="4" width="13.7109375" customWidth="1"/>
  </cols>
  <sheetData>
    <row r="1" spans="1:4">
      <c r="A1" s="1" t="s">
        <v>0</v>
      </c>
    </row>
    <row r="2" spans="1:4">
      <c r="A2" s="3" t="s">
        <v>9</v>
      </c>
    </row>
    <row r="3" spans="1:4">
      <c r="A3" s="7" t="s">
        <v>22</v>
      </c>
    </row>
    <row r="5" spans="1:4">
      <c r="A5" s="8"/>
      <c r="B5" s="8" t="s">
        <v>23</v>
      </c>
      <c r="C5" s="8" t="s">
        <v>24</v>
      </c>
      <c r="D5" s="8" t="s">
        <v>25</v>
      </c>
    </row>
    <row r="6" spans="1:4">
      <c r="A6" s="9" t="s">
        <v>26</v>
      </c>
      <c r="B6" s="10">
        <v>18</v>
      </c>
    </row>
    <row r="7" spans="1:4">
      <c r="A7" s="9" t="s">
        <v>27</v>
      </c>
      <c r="B7" s="10">
        <v>3</v>
      </c>
      <c r="C7" s="10">
        <v>4</v>
      </c>
      <c r="D7" s="10">
        <v>5</v>
      </c>
    </row>
    <row r="8" spans="1:4">
      <c r="A8" s="9" t="s">
        <v>28</v>
      </c>
      <c r="B8" s="11">
        <v>2350</v>
      </c>
      <c r="C8" s="11">
        <v>2420</v>
      </c>
      <c r="D8" s="11">
        <v>2480</v>
      </c>
    </row>
    <row r="9" spans="1:4">
      <c r="A9" s="9" t="s">
        <v>29</v>
      </c>
      <c r="B9" s="12">
        <v>0.425</v>
      </c>
    </row>
    <row r="10" spans="1:4">
      <c r="A10" s="9" t="s">
        <v>30</v>
      </c>
      <c r="B10" s="12">
        <v>0.031</v>
      </c>
      <c r="C10" s="12">
        <v>0.029</v>
      </c>
      <c r="D10" s="12">
        <v>0.024</v>
      </c>
    </row>
    <row r="11" spans="1:4">
      <c r="A11" s="9" t="s">
        <v>31</v>
      </c>
      <c r="B11" s="12">
        <v>0.295</v>
      </c>
      <c r="C11" s="12">
        <v>0.304</v>
      </c>
      <c r="D11" s="12">
        <v>0.298</v>
      </c>
    </row>
    <row r="12" spans="1:4">
      <c r="A12" s="9" t="s">
        <v>32</v>
      </c>
      <c r="B12" s="12">
        <v>0.312</v>
      </c>
      <c r="C12" s="12">
        <v>0.326</v>
      </c>
      <c r="D12" s="12">
        <v>0.329</v>
      </c>
    </row>
    <row r="13" spans="1:4">
      <c r="A13" s="9" t="s">
        <v>33</v>
      </c>
      <c r="B13" s="12">
        <v>0.089</v>
      </c>
      <c r="C13" s="12">
        <v>0.08699999999999999</v>
      </c>
      <c r="D13" s="12">
        <v>0.08500000000000001</v>
      </c>
    </row>
    <row r="14" spans="1:4">
      <c r="A14" s="9" t="s">
        <v>34</v>
      </c>
      <c r="B14" s="12">
        <v>0.104</v>
      </c>
      <c r="C14" s="12">
        <v>0.106</v>
      </c>
      <c r="D14" s="12">
        <v>0.102</v>
      </c>
    </row>
    <row r="15" spans="1:4">
      <c r="A15" s="9" t="s">
        <v>35</v>
      </c>
      <c r="B15" s="12">
        <v>0.098</v>
      </c>
      <c r="C15" s="12">
        <v>0.094</v>
      </c>
      <c r="D15" s="12">
        <v>0.08799999999999999</v>
      </c>
    </row>
    <row r="16" spans="1:4">
      <c r="A16" s="9" t="s">
        <v>36</v>
      </c>
      <c r="B16" s="11">
        <v>150</v>
      </c>
    </row>
    <row r="17" spans="1:2">
      <c r="A17" s="9" t="s">
        <v>37</v>
      </c>
      <c r="B17" s="12">
        <v>0.043</v>
      </c>
    </row>
    <row r="18" spans="1:2">
      <c r="A18" s="9" t="s">
        <v>38</v>
      </c>
      <c r="B18" s="11">
        <v>1250</v>
      </c>
    </row>
    <row r="19" spans="1:2">
      <c r="A19" s="9" t="s">
        <v>39</v>
      </c>
      <c r="B19" s="12">
        <v>0.013</v>
      </c>
    </row>
    <row r="20" spans="1:2">
      <c r="A20" s="9" t="s">
        <v>40</v>
      </c>
      <c r="B20" s="11">
        <v>12000</v>
      </c>
    </row>
    <row r="21" spans="1:2">
      <c r="A21" s="9" t="s">
        <v>41</v>
      </c>
      <c r="B21" s="11">
        <v>1000</v>
      </c>
    </row>
    <row r="22" spans="1:2">
      <c r="A22" s="9" t="s">
        <v>42</v>
      </c>
      <c r="B22" s="13">
        <v>0.07000000000000001</v>
      </c>
    </row>
    <row r="23" spans="1:2">
      <c r="A23" s="9" t="s">
        <v>43</v>
      </c>
      <c r="B23" s="11">
        <v>6000</v>
      </c>
    </row>
    <row r="24" spans="1:2">
      <c r="A24" s="9" t="s">
        <v>44</v>
      </c>
      <c r="B24" s="13">
        <v>0.08</v>
      </c>
    </row>
    <row r="25" spans="1:2">
      <c r="A25" s="9" t="s">
        <v>45</v>
      </c>
      <c r="B25" s="11">
        <v>2500</v>
      </c>
    </row>
    <row r="26" spans="1:2">
      <c r="A26" s="9" t="s">
        <v>46</v>
      </c>
      <c r="B26" s="13">
        <v>0.26</v>
      </c>
    </row>
    <row r="27" spans="1:2">
      <c r="A27" s="9" t="s">
        <v>47</v>
      </c>
      <c r="B27" s="11">
        <v>1900</v>
      </c>
    </row>
    <row r="28" spans="1:2">
      <c r="A28" s="9" t="s">
        <v>48</v>
      </c>
      <c r="B28" s="14">
        <v>1.08</v>
      </c>
    </row>
    <row r="29" spans="1:2">
      <c r="A29" s="9" t="s">
        <v>49</v>
      </c>
      <c r="B29" s="12">
        <v>0.008</v>
      </c>
    </row>
    <row r="30" spans="1:2">
      <c r="A30" s="9" t="s">
        <v>50</v>
      </c>
      <c r="B30" s="12">
        <v>0.012</v>
      </c>
    </row>
    <row r="31" spans="1:2">
      <c r="A31" s="9" t="s">
        <v>51</v>
      </c>
      <c r="B31" s="12">
        <v>0.008999999999999999</v>
      </c>
    </row>
    <row r="32" spans="1:2">
      <c r="A32" s="9" t="s">
        <v>52</v>
      </c>
      <c r="B32" s="12">
        <v>0.042</v>
      </c>
    </row>
    <row r="33" spans="1:2">
      <c r="A33" s="9" t="s">
        <v>53</v>
      </c>
      <c r="B33" s="12">
        <v>0.05</v>
      </c>
    </row>
    <row r="34" spans="1:2">
      <c r="A34" s="9" t="s">
        <v>54</v>
      </c>
      <c r="B34" s="12">
        <v>0.01</v>
      </c>
    </row>
    <row r="35" spans="1:2">
      <c r="A35" s="9" t="s">
        <v>55</v>
      </c>
      <c r="B35" s="11">
        <v>3100</v>
      </c>
    </row>
    <row r="36" spans="1:2">
      <c r="A36" s="9" t="s">
        <v>56</v>
      </c>
      <c r="B36" s="11">
        <v>460</v>
      </c>
    </row>
    <row r="37" spans="1:2">
      <c r="A37" s="9" t="s">
        <v>57</v>
      </c>
      <c r="B37" s="11">
        <v>310</v>
      </c>
    </row>
    <row r="38" spans="1:2">
      <c r="A38" s="9" t="s">
        <v>58</v>
      </c>
      <c r="B38" s="11">
        <v>350</v>
      </c>
    </row>
    <row r="39" spans="1:2">
      <c r="A39" s="9" t="s">
        <v>59</v>
      </c>
      <c r="B39" s="11">
        <v>19500</v>
      </c>
    </row>
    <row r="40" spans="1:2">
      <c r="A40" s="9" t="s">
        <v>60</v>
      </c>
      <c r="B40" s="11">
        <v>34200</v>
      </c>
    </row>
    <row r="41" spans="1:2">
      <c r="A41" s="9" t="s">
        <v>61</v>
      </c>
      <c r="B41" s="11">
        <v>1640</v>
      </c>
    </row>
    <row r="42" spans="1:2">
      <c r="A42" s="9" t="s">
        <v>62</v>
      </c>
      <c r="B42" s="11">
        <v>1950</v>
      </c>
    </row>
    <row r="43" spans="1:2">
      <c r="A43" s="9" t="s">
        <v>63</v>
      </c>
      <c r="B43" s="11">
        <v>390</v>
      </c>
    </row>
    <row r="44" spans="1:2">
      <c r="A44" s="9" t="s">
        <v>64</v>
      </c>
      <c r="B44" s="11">
        <v>36936</v>
      </c>
    </row>
    <row r="45" spans="1:2">
      <c r="A45" s="9" t="s">
        <v>65</v>
      </c>
      <c r="B45" s="11">
        <v>0</v>
      </c>
    </row>
    <row r="46" spans="1:2">
      <c r="A46" s="9" t="s">
        <v>66</v>
      </c>
      <c r="B46" s="11">
        <v>12000</v>
      </c>
    </row>
    <row r="47" spans="1:2">
      <c r="A47" s="9" t="s">
        <v>67</v>
      </c>
      <c r="B47" s="11">
        <v>9000</v>
      </c>
    </row>
    <row r="48" spans="1:2">
      <c r="A48" s="9" t="s">
        <v>68</v>
      </c>
      <c r="B48" s="11">
        <v>-3996</v>
      </c>
    </row>
  </sheetData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4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62.7109375" customWidth="1"/>
    <col min="2" max="4" width="13.7109375" customWidth="1"/>
  </cols>
  <sheetData>
    <row r="1" spans="1:4">
      <c r="A1" s="1" t="s">
        <v>0</v>
      </c>
    </row>
    <row r="2" spans="1:4">
      <c r="A2" s="3" t="s">
        <v>10</v>
      </c>
    </row>
    <row r="3" spans="1:4">
      <c r="A3" s="7" t="s">
        <v>69</v>
      </c>
    </row>
    <row r="5" spans="1:4">
      <c r="A5" s="8"/>
      <c r="B5" s="8" t="s">
        <v>23</v>
      </c>
      <c r="C5" s="8" t="s">
        <v>24</v>
      </c>
      <c r="D5" s="8" t="s">
        <v>25</v>
      </c>
    </row>
    <row r="6" spans="1:4">
      <c r="A6" s="9" t="s">
        <v>70</v>
      </c>
      <c r="B6" s="15">
        <f>(('Assumptions'!B6*'Assumptions'!B8)+(('Assumptions'!B7*'Assumptions'!B8)*'Assumptions'!B9))</f>
        <v>45296.25</v>
      </c>
      <c r="C6" s="15">
        <f>((('Assumptions'!B6+'Assumptions'!B7)*'Assumptions'!C8)+(('Assumptions'!C7*'Assumptions'!C8)*'Assumptions'!B9))</f>
        <v>54934.0</v>
      </c>
      <c r="D6" s="15">
        <f>(((('Assumptions'!B6+'Assumptions'!B7)+'Assumptions'!C7)*'Assumptions'!D8)+(('Assumptions'!D7*'Assumptions'!D8)*'Assumptions'!B9))</f>
        <v>67270.0</v>
      </c>
    </row>
    <row r="7" spans="1:4">
      <c r="A7" s="9" t="s">
        <v>71</v>
      </c>
      <c r="B7" s="15">
        <f>(B6*'Assumptions'!B11)</f>
        <v>13362.39375</v>
      </c>
      <c r="C7" s="15">
        <f>(C6*'Assumptions'!C11)</f>
        <v>16699.935999999998</v>
      </c>
      <c r="D7" s="15">
        <f>(D6*'Assumptions'!D11)</f>
        <v>20046.46</v>
      </c>
    </row>
    <row r="8" spans="1:4">
      <c r="A8" s="9" t="s">
        <v>72</v>
      </c>
      <c r="B8" s="15">
        <f>(B6*'Assumptions'!B12)</f>
        <v>14132.43</v>
      </c>
      <c r="C8" s="15">
        <f>(C6*'Assumptions'!C12)</f>
        <v>17908.484</v>
      </c>
      <c r="D8" s="15">
        <f>(D6*'Assumptions'!D12)</f>
        <v>22131.83</v>
      </c>
    </row>
    <row r="9" spans="1:4">
      <c r="A9" s="9" t="s">
        <v>73</v>
      </c>
      <c r="B9" s="15">
        <f>(B6*'Assumptions'!B13)</f>
        <v>4031.3662499999996</v>
      </c>
      <c r="C9" s="15">
        <f>(C6*'Assumptions'!C13)</f>
        <v>4779.258</v>
      </c>
      <c r="D9" s="15">
        <f>(D6*'Assumptions'!D13)</f>
        <v>5717.950000000001</v>
      </c>
    </row>
    <row r="10" spans="1:4">
      <c r="A10" s="9" t="s">
        <v>74</v>
      </c>
      <c r="B10" s="15">
        <f>(B6*'Assumptions'!B14)</f>
        <v>4710.8099999999995</v>
      </c>
      <c r="C10" s="15">
        <f>(C6*'Assumptions'!C14)</f>
        <v>5823.004</v>
      </c>
      <c r="D10" s="15">
        <f>(D6*'Assumptions'!D14)</f>
        <v>6861.54</v>
      </c>
    </row>
    <row r="11" spans="1:4">
      <c r="A11" s="16" t="s">
        <v>75</v>
      </c>
      <c r="B11" s="17">
        <f>((((B6-B7)-B8)-B9)-B10)</f>
        <v>9059.250000000002</v>
      </c>
      <c r="C11" s="17">
        <f>((((C6-C7)-C8)-C9)-C10)</f>
        <v>9723.318</v>
      </c>
      <c r="D11" s="17">
        <f>((((D6-D7)-D8)-D9)-D10)</f>
        <v>12512.219999999998</v>
      </c>
    </row>
    <row r="12" spans="1:4">
      <c r="A12" s="9" t="s">
        <v>76</v>
      </c>
      <c r="B12" s="15">
        <f>(B6*'Assumptions'!B15)</f>
        <v>4439.0325</v>
      </c>
      <c r="C12" s="15">
        <f>(C6*'Assumptions'!C15)</f>
        <v>5163.796</v>
      </c>
      <c r="D12" s="15">
        <f>(D6*'Assumptions'!D15)</f>
        <v>5919.759999999999</v>
      </c>
    </row>
    <row r="13" spans="1:4">
      <c r="A13" s="9" t="s">
        <v>77</v>
      </c>
      <c r="B13" s="15">
        <f>('Assumptions'!B7*'Assumptions'!B16)</f>
        <v>450.0</v>
      </c>
      <c r="C13" s="15">
        <f>('Assumptions'!C7*'Assumptions'!B16)</f>
        <v>600.0</v>
      </c>
      <c r="D13" s="15">
        <f>('Assumptions'!D7*'Assumptions'!B16)</f>
        <v>750.0</v>
      </c>
    </row>
    <row r="14" spans="1:4">
      <c r="A14" s="16" t="s">
        <v>78</v>
      </c>
      <c r="B14" s="17">
        <f>((B11-B12)-B13)</f>
        <v>4170.217500000002</v>
      </c>
      <c r="C14" s="17">
        <f>((C11-C12)-C13)</f>
        <v>3959.521999999999</v>
      </c>
      <c r="D14" s="17">
        <f>((D11-D12)-D13)</f>
        <v>5842.459999999998</v>
      </c>
    </row>
    <row r="15" spans="1:4">
      <c r="A15" s="9" t="s">
        <v>79</v>
      </c>
      <c r="B15" s="15">
        <f>(B6*'Assumptions'!B17)</f>
        <v>1947.7387499999998</v>
      </c>
      <c r="C15" s="15">
        <f>(C6*'Assumptions'!B17)</f>
        <v>2362.162</v>
      </c>
      <c r="D15" s="15">
        <f>(D6*'Assumptions'!B17)</f>
        <v>2892.6099999999997</v>
      </c>
    </row>
    <row r="16" spans="1:4">
      <c r="A16" s="16" t="s">
        <v>80</v>
      </c>
      <c r="B16" s="17">
        <f>(B14-B15)</f>
        <v>2222.478750000002</v>
      </c>
      <c r="C16" s="17">
        <f>(C14-C15)</f>
        <v>1597.3599999999992</v>
      </c>
      <c r="D16" s="17">
        <f>(D14-D15)</f>
        <v>2949.8499999999985</v>
      </c>
    </row>
    <row r="17" spans="1:4">
      <c r="A17" s="9" t="s">
        <v>81</v>
      </c>
      <c r="B17" s="15">
        <f>(('Assumptions'!B46*'Assumptions'!B22)+('Assumptions'!B45*'Assumptions'!B24))</f>
        <v>840.0000000000001</v>
      </c>
      <c r="C17" s="15">
        <f>(('Balance Sheet'!B22*'Assumptions'!B22)+('Balance Sheet'!B21*'Assumptions'!B24))</f>
        <v>839.2361579999999</v>
      </c>
      <c r="D17" s="15">
        <f>(('Balance Sheet'!C22*'Assumptions'!B22)+('Balance Sheet'!C21*'Assumptions'!B24))</f>
        <v>967.5891665536001</v>
      </c>
    </row>
    <row r="18" spans="1:4">
      <c r="A18" s="16" t="s">
        <v>82</v>
      </c>
      <c r="B18" s="17">
        <f>(B16-B17)</f>
        <v>1382.478750000002</v>
      </c>
      <c r="C18" s="17">
        <f>(C16-C17)</f>
        <v>758.1238419999993</v>
      </c>
      <c r="D18" s="17">
        <f>(D16-D17)</f>
        <v>1982.2608334463985</v>
      </c>
    </row>
    <row r="19" spans="1:4">
      <c r="A19" s="9" t="s">
        <v>83</v>
      </c>
      <c r="B19" s="15">
        <f>MAX(0,(B18*'Assumptions'!B26))</f>
        <v>359.4444750000005</v>
      </c>
      <c r="C19" s="15">
        <f>MAX(0,(C18*'Assumptions'!B26))</f>
        <v>197.11219891999983</v>
      </c>
      <c r="D19" s="15">
        <f>MAX(0,(D18*'Assumptions'!B26))</f>
        <v>515.3878166960636</v>
      </c>
    </row>
    <row r="20" spans="1:4">
      <c r="A20" s="18" t="s">
        <v>84</v>
      </c>
      <c r="B20" s="19">
        <f>(B18-B19)</f>
        <v>1023.0342750000016</v>
      </c>
      <c r="C20" s="19">
        <f>(C18-C19)</f>
        <v>561.0116430799994</v>
      </c>
      <c r="D20" s="19">
        <f>(D18-D19)</f>
        <v>1466.873016750335</v>
      </c>
    </row>
    <row r="21" spans="1:4">
      <c r="A21" s="20" t="s">
        <v>85</v>
      </c>
      <c r="B21" s="21">
        <f>(B11/B6)</f>
        <v>0.20000000000000004</v>
      </c>
      <c r="C21" s="21">
        <f>(C11/C6)</f>
        <v>0.177</v>
      </c>
      <c r="D21" s="21">
        <f>(D11/D6)</f>
        <v>0.18599999999999997</v>
      </c>
    </row>
    <row r="22" spans="1:4">
      <c r="A22" s="20" t="s">
        <v>86</v>
      </c>
      <c r="B22" s="21">
        <f>(B14/B6)</f>
        <v>0.0920654027651296</v>
      </c>
      <c r="C22" s="21">
        <f>(C14/C6)</f>
        <v>0.0720778024538537</v>
      </c>
      <c r="D22" s="21">
        <f>(D14/D6)</f>
        <v>0.08685089936078487</v>
      </c>
    </row>
    <row r="23" spans="1:4">
      <c r="A23" s="20" t="s">
        <v>87</v>
      </c>
      <c r="B23" s="22">
        <f>('Assumptions'!B6+'Assumptions'!B7)</f>
        <v>21.0</v>
      </c>
      <c r="C23" s="22">
        <f>(('Assumptions'!B6+'Assumptions'!B7)+'Assumptions'!C7)</f>
        <v>25.0</v>
      </c>
      <c r="D23" s="22">
        <f>((('Assumptions'!B6+'Assumptions'!B7)+'Assumptions'!C7)+'Assumptions'!D7)</f>
        <v>30.0</v>
      </c>
    </row>
    <row r="24" spans="1:4">
      <c r="A24" s="20" t="s">
        <v>30</v>
      </c>
      <c r="B24" s="23">
        <f>'Assumptions'!B10</f>
        <v>0.031</v>
      </c>
      <c r="C24" s="23">
        <f>'Assumptions'!C10</f>
        <v>0.029</v>
      </c>
      <c r="D24" s="23">
        <f>'Assumptions'!D10</f>
        <v>0.024</v>
      </c>
    </row>
  </sheetData>
  <pageMargins left="0.7" right="0.7" top="0.75" bottom="0.75" header="0.3" footer="0.3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8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62.7109375" customWidth="1"/>
    <col min="2" max="4" width="13.7109375" customWidth="1"/>
  </cols>
  <sheetData>
    <row r="1" spans="1:4">
      <c r="A1" s="1" t="s">
        <v>0</v>
      </c>
    </row>
    <row r="2" spans="1:4">
      <c r="A2" s="3" t="s">
        <v>11</v>
      </c>
    </row>
    <row r="3" spans="1:4">
      <c r="A3" s="7" t="s">
        <v>88</v>
      </c>
    </row>
    <row r="5" spans="1:4">
      <c r="A5" s="8"/>
      <c r="B5" s="8" t="s">
        <v>23</v>
      </c>
      <c r="C5" s="8" t="s">
        <v>24</v>
      </c>
      <c r="D5" s="8" t="s">
        <v>25</v>
      </c>
    </row>
    <row r="6" spans="1:4">
      <c r="A6" s="16" t="s">
        <v>89</v>
      </c>
      <c r="B6" s="9"/>
      <c r="C6" s="9"/>
      <c r="D6" s="9"/>
    </row>
    <row r="7" spans="1:4">
      <c r="A7" s="20" t="s">
        <v>90</v>
      </c>
      <c r="B7" s="24">
        <f>'Cash Flow'!B23</f>
        <v>2499.9999999999995</v>
      </c>
      <c r="C7" s="24">
        <f>'Cash Flow'!C23</f>
        <v>2500.0000000000005</v>
      </c>
      <c r="D7" s="24">
        <f>'Cash Flow'!D23</f>
        <v>2499.9999999999995</v>
      </c>
    </row>
    <row r="8" spans="1:4">
      <c r="A8" s="20" t="s">
        <v>91</v>
      </c>
      <c r="B8" s="24">
        <f>('Income Statement'!B6*'Assumptions'!B30)</f>
        <v>543.5550000000001</v>
      </c>
      <c r="C8" s="24">
        <f>('Income Statement'!C6*'Assumptions'!B30)</f>
        <v>659.208</v>
      </c>
      <c r="D8" s="24">
        <f>('Income Statement'!D6*'Assumptions'!B30)</f>
        <v>807.24</v>
      </c>
    </row>
    <row r="9" spans="1:4">
      <c r="A9" s="20" t="s">
        <v>92</v>
      </c>
      <c r="B9" s="24">
        <f>('Income Statement'!B6*'Assumptions'!B29)</f>
        <v>362.37</v>
      </c>
      <c r="C9" s="24">
        <f>('Income Statement'!C6*'Assumptions'!B29)</f>
        <v>439.47200000000004</v>
      </c>
      <c r="D9" s="24">
        <f>('Income Statement'!D6*'Assumptions'!B29)</f>
        <v>538.16</v>
      </c>
    </row>
    <row r="10" spans="1:4">
      <c r="A10" s="20" t="s">
        <v>93</v>
      </c>
      <c r="B10" s="24">
        <f>('Income Statement'!B6*'Assumptions'!B31)</f>
        <v>407.66625</v>
      </c>
      <c r="C10" s="24">
        <f>('Income Statement'!C6*'Assumptions'!B31)</f>
        <v>494.40599999999995</v>
      </c>
      <c r="D10" s="24">
        <f>('Income Statement'!D6*'Assumptions'!B31)</f>
        <v>605.43</v>
      </c>
    </row>
    <row r="11" spans="1:4">
      <c r="A11" s="25" t="s">
        <v>94</v>
      </c>
      <c r="B11" s="26">
        <f>(B7+B8+B9+B10)</f>
        <v>3813.5912499999995</v>
      </c>
      <c r="C11" s="26">
        <f>(C7+C8+C9+C10)</f>
        <v>4093.0860000000007</v>
      </c>
      <c r="D11" s="26">
        <f>(D7+D8+D9+D10)</f>
        <v>4450.83</v>
      </c>
    </row>
    <row r="12" spans="1:4">
      <c r="A12" s="20" t="s">
        <v>95</v>
      </c>
      <c r="B12" s="24">
        <f>(('Assumptions'!B39+(('Assumptions'!B7*'Assumptions'!B18)+('Income Statement'!B6*'Assumptions'!B19)))-'Income Statement'!B15)</f>
        <v>21891.1125</v>
      </c>
      <c r="C12" s="24">
        <f>((B12+(('Assumptions'!C7*'Assumptions'!B18)+('Income Statement'!C6*'Assumptions'!B19)))-'Income Statement'!C15)</f>
        <v>25243.0925</v>
      </c>
      <c r="D12" s="24">
        <f>((C12+(('Assumptions'!D7*'Assumptions'!B18)+('Income Statement'!D6*'Assumptions'!B19)))-'Income Statement'!D15)</f>
        <v>29474.9925</v>
      </c>
    </row>
    <row r="13" spans="1:4">
      <c r="A13" s="20" t="s">
        <v>96</v>
      </c>
      <c r="B13" s="24">
        <f>('Income Statement'!B23*'Assumptions'!B27)</f>
        <v>39900.0</v>
      </c>
      <c r="C13" s="24">
        <f>('Income Statement'!C23*'Assumptions'!B27)</f>
        <v>47500.0</v>
      </c>
      <c r="D13" s="24">
        <f>('Income Statement'!D23*'Assumptions'!B27)</f>
        <v>57000.0</v>
      </c>
    </row>
    <row r="14" spans="1:4">
      <c r="A14" s="18" t="s">
        <v>97</v>
      </c>
      <c r="B14" s="19">
        <f>((B11+B12)+B13)</f>
        <v>65604.70375</v>
      </c>
      <c r="C14" s="19">
        <f>((C11+C12)+C13)</f>
        <v>76836.1785</v>
      </c>
      <c r="D14" s="19">
        <f>((D11+D12)+D13)</f>
        <v>90925.82250000001</v>
      </c>
    </row>
    <row r="15" spans="1:4">
      <c r="A15" s="16" t="s">
        <v>98</v>
      </c>
      <c r="B15" s="9"/>
      <c r="C15" s="9"/>
      <c r="D15" s="9"/>
    </row>
    <row r="16" spans="1:4">
      <c r="A16" s="20" t="s">
        <v>99</v>
      </c>
      <c r="B16" s="24">
        <f>('Income Statement'!B6*'Assumptions'!B32)</f>
        <v>1902.4425</v>
      </c>
      <c r="C16" s="24">
        <f>('Income Statement'!C6*'Assumptions'!B32)</f>
        <v>2307.228</v>
      </c>
      <c r="D16" s="24">
        <f>('Income Statement'!D6*'Assumptions'!B32)</f>
        <v>2825.34</v>
      </c>
    </row>
    <row r="17" spans="1:4">
      <c r="A17" s="20" t="s">
        <v>100</v>
      </c>
      <c r="B17" s="24">
        <f>('Income Statement'!B6*'Assumptions'!B33)</f>
        <v>2264.8125</v>
      </c>
      <c r="C17" s="24">
        <f>('Income Statement'!C6*'Assumptions'!B33)</f>
        <v>2746.7000000000003</v>
      </c>
      <c r="D17" s="24">
        <f>('Income Statement'!D6*'Assumptions'!B33)</f>
        <v>3363.5</v>
      </c>
    </row>
    <row r="18" spans="1:4">
      <c r="A18" s="20" t="s">
        <v>101</v>
      </c>
      <c r="B18" s="24">
        <f>('Income Statement'!B6*'Assumptions'!B34)</f>
        <v>452.96250000000003</v>
      </c>
      <c r="C18" s="24">
        <f>('Income Statement'!C6*'Assumptions'!B34)</f>
        <v>549.34</v>
      </c>
      <c r="D18" s="24">
        <f>('Income Statement'!D6*'Assumptions'!B34)</f>
        <v>672.7</v>
      </c>
    </row>
    <row r="19" spans="1:4">
      <c r="A19" s="25" t="s">
        <v>102</v>
      </c>
      <c r="B19" s="26">
        <f>(B16+B17+B18)</f>
        <v>4620.2175</v>
      </c>
      <c r="C19" s="26">
        <f>(C16+C17+C18)</f>
        <v>5603.268</v>
      </c>
      <c r="D19" s="26">
        <f>(D16+D17+D18)</f>
        <v>6861.54</v>
      </c>
    </row>
    <row r="20" spans="1:4">
      <c r="A20" s="20" t="s">
        <v>103</v>
      </c>
      <c r="B20" s="24">
        <f>(B13*'Assumptions'!B28)</f>
        <v>43092.0</v>
      </c>
      <c r="C20" s="24">
        <f>(C13*'Assumptions'!B28)</f>
        <v>51300.0</v>
      </c>
      <c r="D20" s="24">
        <f>(D13*'Assumptions'!B28)</f>
        <v>61560.00000000001</v>
      </c>
    </row>
    <row r="21" spans="1:4">
      <c r="A21" s="20" t="s">
        <v>104</v>
      </c>
      <c r="B21" s="24">
        <f>(('Assumptions'!B45+MAX(0,MIN(('Assumptions'!B25-((('Assumptions'!B35+'Cash Flow'!B15)+'Cash Flow'!B17)+'Cash Flow'!B18)),('Assumptions'!B23-'Assumptions'!B45))))-MAX(0,MIN('Assumptions'!B45,(((('Assumptions'!B35+'Cash Flow'!B15)+'Cash Flow'!B17)+'Cash Flow'!B18)-'Assumptions'!B25))))</f>
        <v>865.4519749999981</v>
      </c>
      <c r="C21" s="24">
        <f>(('Balance Sheet'!B21+MAX(0,MIN(('Assumptions'!B25-((('Balance Sheet'!B7+'Cash Flow'!C15)+'Cash Flow'!C17)+'Cash Flow'!C18)),('Assumptions'!B23-'Balance Sheet'!B21))))-MAX(0,MIN('Balance Sheet'!B21,(((('Balance Sheet'!B7+'Cash Flow'!C15)+'Cash Flow'!C17)+'Cash Flow'!C18)-'Assumptions'!B25))))</f>
        <v>3344.864581919999</v>
      </c>
      <c r="D21" s="24">
        <f>(('Balance Sheet'!C21+MAX(0,MIN(('Assumptions'!B25-((('Balance Sheet'!C7+'Cash Flow'!D15)+'Cash Flow'!D17)+'Cash Flow'!D18)),('Assumptions'!B23-'Balance Sheet'!C21))))-MAX(0,MIN('Balance Sheet'!C21,(((('Balance Sheet'!C7+'Cash Flow'!D15)+'Cash Flow'!D17)+'Cash Flow'!D18)-'Assumptions'!B25))))</f>
        <v>5449.363565169657</v>
      </c>
    </row>
    <row r="22" spans="1:4">
      <c r="A22" s="20" t="s">
        <v>105</v>
      </c>
      <c r="B22" s="24">
        <f>('Assumptions'!B46-'Assumptions'!B21)</f>
        <v>11000.0</v>
      </c>
      <c r="C22" s="24">
        <f>('Balance Sheet'!B22-'Assumptions'!B21)</f>
        <v>10000.0</v>
      </c>
      <c r="D22" s="24">
        <f>('Balance Sheet'!C22-'Assumptions'!B21)</f>
        <v>9000.0</v>
      </c>
    </row>
    <row r="23" spans="1:4">
      <c r="A23" s="16" t="s">
        <v>106</v>
      </c>
      <c r="B23" s="17">
        <f>(((B19+B20)+B21)+B22)</f>
        <v>59577.669474999995</v>
      </c>
      <c r="C23" s="17">
        <f>(((C19+C20)+C21)+C22)</f>
        <v>70248.13258192</v>
      </c>
      <c r="D23" s="17">
        <f>(((D19+D20)+D21)+D22)</f>
        <v>82870.90356516966</v>
      </c>
    </row>
    <row r="24" spans="1:4">
      <c r="A24" s="16" t="s">
        <v>107</v>
      </c>
      <c r="B24" s="9"/>
      <c r="C24" s="9"/>
      <c r="D24" s="9"/>
    </row>
    <row r="25" spans="1:4">
      <c r="A25" s="20" t="s">
        <v>108</v>
      </c>
      <c r="B25" s="24">
        <f>'Assumptions'!B47</f>
        <v>9000.0</v>
      </c>
      <c r="C25" s="24">
        <f>'Assumptions'!B47</f>
        <v>9000.0</v>
      </c>
      <c r="D25" s="24">
        <f>'Assumptions'!B47</f>
        <v>9000.0</v>
      </c>
    </row>
    <row r="26" spans="1:4">
      <c r="A26" s="20" t="s">
        <v>109</v>
      </c>
      <c r="B26" s="24">
        <f>('Assumptions'!B48+'Income Statement'!B20)</f>
        <v>-2972.965724999998</v>
      </c>
      <c r="C26" s="24">
        <f>(B26+'Income Statement'!C20)</f>
        <v>-2411.9540819199988</v>
      </c>
      <c r="D26" s="24">
        <f>(C26+'Income Statement'!D20)</f>
        <v>-945.0810651696638</v>
      </c>
    </row>
    <row r="27" spans="1:4">
      <c r="A27" s="16" t="s">
        <v>110</v>
      </c>
      <c r="B27" s="17">
        <f>(B25+B26)</f>
        <v>6027.034275000002</v>
      </c>
      <c r="C27" s="17">
        <f>(C25+C26)</f>
        <v>6588.045918080001</v>
      </c>
      <c r="D27" s="17">
        <f>(D25+D26)</f>
        <v>8054.918934830336</v>
      </c>
    </row>
    <row r="28" spans="1:4">
      <c r="A28" s="18" t="s">
        <v>111</v>
      </c>
      <c r="B28" s="19">
        <f>(B23+B27)</f>
        <v>65604.70375</v>
      </c>
      <c r="C28" s="19">
        <f>(C23+C27)</f>
        <v>76836.1785</v>
      </c>
      <c r="D28" s="19">
        <f>(D23+D27)</f>
        <v>90925.8225</v>
      </c>
    </row>
  </sheetData>
  <pageMargins left="0.7" right="0.7" top="0.75" bottom="0.75" header="0.3" footer="0.3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7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62.7109375" customWidth="1"/>
    <col min="2" max="4" width="13.7109375" customWidth="1"/>
  </cols>
  <sheetData>
    <row r="1" spans="1:4">
      <c r="A1" s="1" t="s">
        <v>0</v>
      </c>
    </row>
    <row r="2" spans="1:4">
      <c r="A2" s="3" t="s">
        <v>112</v>
      </c>
    </row>
    <row r="3" spans="1:4">
      <c r="A3" s="7" t="s">
        <v>69</v>
      </c>
    </row>
    <row r="5" spans="1:4">
      <c r="A5" s="8"/>
      <c r="B5" s="8" t="s">
        <v>23</v>
      </c>
      <c r="C5" s="8" t="s">
        <v>24</v>
      </c>
      <c r="D5" s="8" t="s">
        <v>25</v>
      </c>
    </row>
    <row r="6" spans="1:4">
      <c r="A6" s="9" t="s">
        <v>84</v>
      </c>
      <c r="B6" s="15">
        <f>'Income Statement'!B20</f>
        <v>1023.0342750000016</v>
      </c>
      <c r="C6" s="15">
        <f>'Income Statement'!C20</f>
        <v>561.0116430799994</v>
      </c>
      <c r="D6" s="15">
        <f>'Income Statement'!D20</f>
        <v>1466.873016750335</v>
      </c>
    </row>
    <row r="7" spans="1:4">
      <c r="A7" s="9" t="s">
        <v>79</v>
      </c>
      <c r="B7" s="15">
        <f>'Income Statement'!B15</f>
        <v>1947.7387499999998</v>
      </c>
      <c r="C7" s="15">
        <f>'Income Statement'!C15</f>
        <v>2362.162</v>
      </c>
      <c r="D7" s="15">
        <f>'Income Statement'!D15</f>
        <v>2892.6099999999997</v>
      </c>
    </row>
    <row r="8" spans="1:4">
      <c r="A8" s="9" t="s">
        <v>113</v>
      </c>
      <c r="B8" s="15">
        <f>(('Balance Sheet'!B20-'Assumptions'!B44)-('Balance Sheet'!B13-'Assumptions'!B40))</f>
        <v>456.0</v>
      </c>
      <c r="C8" s="15">
        <f>(('Balance Sheet'!C20-'Balance Sheet'!B20)-('Balance Sheet'!C13-'Balance Sheet'!B13))</f>
        <v>608.0</v>
      </c>
      <c r="D8" s="15">
        <f>(('Balance Sheet'!D20-'Balance Sheet'!C20)-('Balance Sheet'!D13-'Balance Sheet'!C13))</f>
        <v>760.0000000000073</v>
      </c>
    </row>
    <row r="9" spans="1:4">
      <c r="A9" s="9" t="s">
        <v>114</v>
      </c>
      <c r="B9" s="15">
        <f>(-('Balance Sheet'!B8-'Assumptions'!B36))</f>
        <v>-83.55500000000006</v>
      </c>
      <c r="C9" s="15">
        <f>(-('Balance Sheet'!C8-'Balance Sheet'!B8))</f>
        <v>-115.6529999999999</v>
      </c>
      <c r="D9" s="15">
        <f>(-('Balance Sheet'!D8-'Balance Sheet'!C8))</f>
        <v>-148.03200000000004</v>
      </c>
    </row>
    <row r="10" spans="1:4">
      <c r="A10" s="9" t="s">
        <v>115</v>
      </c>
      <c r="B10" s="15">
        <f>(-('Balance Sheet'!B9-'Assumptions'!B37))</f>
        <v>-52.370000000000005</v>
      </c>
      <c r="C10" s="15">
        <f>(-('Balance Sheet'!C9-'Balance Sheet'!B9))</f>
        <v>-77.10200000000003</v>
      </c>
      <c r="D10" s="15">
        <f>(-('Balance Sheet'!D9-'Balance Sheet'!C9))</f>
        <v>-98.68799999999993</v>
      </c>
    </row>
    <row r="11" spans="1:4">
      <c r="A11" s="9" t="s">
        <v>116</v>
      </c>
      <c r="B11" s="15">
        <f>(-('Balance Sheet'!B10-'Assumptions'!B38))</f>
        <v>-57.66624999999999</v>
      </c>
      <c r="C11" s="15">
        <f>(-('Balance Sheet'!C10-'Balance Sheet'!B10))</f>
        <v>-86.73974999999996</v>
      </c>
      <c r="D11" s="15">
        <f>(-('Balance Sheet'!D10-'Balance Sheet'!C10))</f>
        <v>-111.024</v>
      </c>
    </row>
    <row r="12" spans="1:4">
      <c r="A12" s="9" t="s">
        <v>117</v>
      </c>
      <c r="B12" s="15">
        <f>('Balance Sheet'!B16-'Assumptions'!B41)</f>
        <v>262.4425000000001</v>
      </c>
      <c r="C12" s="15">
        <f>('Balance Sheet'!C16-'Balance Sheet'!B16)</f>
        <v>404.78549999999996</v>
      </c>
      <c r="D12" s="15">
        <f>('Balance Sheet'!D16-'Balance Sheet'!C16)</f>
        <v>518.1120000000001</v>
      </c>
    </row>
    <row r="13" spans="1:4">
      <c r="A13" s="9" t="s">
        <v>118</v>
      </c>
      <c r="B13" s="15">
        <f>('Balance Sheet'!B17-'Assumptions'!B42)</f>
        <v>314.8125</v>
      </c>
      <c r="C13" s="15">
        <f>('Balance Sheet'!C17-'Balance Sheet'!B17)</f>
        <v>481.8875000000003</v>
      </c>
      <c r="D13" s="15">
        <f>('Balance Sheet'!D17-'Balance Sheet'!C17)</f>
        <v>616.7999999999997</v>
      </c>
    </row>
    <row r="14" spans="1:4">
      <c r="A14" s="9" t="s">
        <v>119</v>
      </c>
      <c r="B14" s="15">
        <f>('Balance Sheet'!B18-'Assumptions'!B43)</f>
        <v>62.962500000000034</v>
      </c>
      <c r="C14" s="15">
        <f>('Balance Sheet'!C18-'Balance Sheet'!B18)</f>
        <v>96.3775</v>
      </c>
      <c r="D14" s="15">
        <f>('Balance Sheet'!D18-'Balance Sheet'!C18)</f>
        <v>123.36000000000001</v>
      </c>
    </row>
    <row r="15" spans="1:4">
      <c r="A15" s="16" t="s">
        <v>120</v>
      </c>
      <c r="B15" s="17">
        <f>(B6+B7+B8+B9+B10+B11+B12+B13+B14)</f>
        <v>3873.399275000001</v>
      </c>
      <c r="C15" s="17">
        <f>(C6+C7+C8+C9+C10+C11+C12+C13+C14)</f>
        <v>4234.72939308</v>
      </c>
      <c r="D15" s="17">
        <f>(D6+D7+D8+D9+D10+D11+D12+D13+D14)</f>
        <v>6020.011016750342</v>
      </c>
    </row>
    <row r="16" spans="1:4">
      <c r="A16" s="9" t="s">
        <v>121</v>
      </c>
      <c r="B16" s="15">
        <f>(-(('Assumptions'!B7*'Assumptions'!B18)+('Income Statement'!B6*'Assumptions'!B19)))</f>
        <v>-4338.85125</v>
      </c>
      <c r="C16" s="15">
        <f>(-(('Assumptions'!C7*'Assumptions'!B18)+('Income Statement'!C6*'Assumptions'!B19)))</f>
        <v>-5714.142</v>
      </c>
      <c r="D16" s="15">
        <f>(-(('Assumptions'!D7*'Assumptions'!B18)+('Income Statement'!D6*'Assumptions'!B19)))</f>
        <v>-7124.51</v>
      </c>
    </row>
    <row r="17" spans="1:4">
      <c r="A17" s="16" t="s">
        <v>122</v>
      </c>
      <c r="B17" s="17">
        <f>B16</f>
        <v>-4338.85125</v>
      </c>
      <c r="C17" s="17">
        <f>C16</f>
        <v>-5714.142</v>
      </c>
      <c r="D17" s="17">
        <f>D16</f>
        <v>-7124.51</v>
      </c>
    </row>
    <row r="18" spans="1:4">
      <c r="A18" s="9" t="s">
        <v>123</v>
      </c>
      <c r="B18" s="15">
        <f>(-'Assumptions'!B21)</f>
        <v>-1000.0</v>
      </c>
      <c r="C18" s="15">
        <f>(-'Assumptions'!B21)</f>
        <v>-1000.0</v>
      </c>
      <c r="D18" s="15">
        <f>(-'Assumptions'!B21)</f>
        <v>-1000.0</v>
      </c>
    </row>
    <row r="19" spans="1:4">
      <c r="A19" s="9" t="s">
        <v>124</v>
      </c>
      <c r="B19" s="15">
        <f>(MAX(0,MIN(('Assumptions'!B25-((('Assumptions'!B35+B15)+B17)+B18)),('Assumptions'!B23-'Assumptions'!B45)))-MAX(0,MIN('Assumptions'!B45,(((('Assumptions'!B35+B15)+B17)+B18)-'Assumptions'!B25))))</f>
        <v>865.4519749999981</v>
      </c>
      <c r="C19" s="15">
        <f>(MAX(0,MIN(('Assumptions'!B25-((('Balance Sheet'!B7+C15)+C17)+C18)),('Assumptions'!B23-'Balance Sheet'!B21)))-MAX(0,MIN('Balance Sheet'!B21,(((('Balance Sheet'!B7+C15)+C17)+C18)-'Assumptions'!B25))))</f>
        <v>2479.412606920001</v>
      </c>
      <c r="D19" s="15">
        <f>(MAX(0,MIN(('Assumptions'!B25-((('Balance Sheet'!C7+D15)+D17)+D18)),('Assumptions'!B23-'Balance Sheet'!C21)))-MAX(0,MIN('Balance Sheet'!C21,(((('Balance Sheet'!C7+D15)+D17)+D18)-'Assumptions'!B25))))</f>
        <v>2104.4989832496576</v>
      </c>
    </row>
    <row r="20" spans="1:4">
      <c r="A20" s="16" t="s">
        <v>125</v>
      </c>
      <c r="B20" s="17">
        <f>(B18+B19)</f>
        <v>-134.54802500000187</v>
      </c>
      <c r="C20" s="17">
        <f>(C18+C19)</f>
        <v>1479.412606920001</v>
      </c>
      <c r="D20" s="17">
        <f>(D18+D19)</f>
        <v>1104.4989832496576</v>
      </c>
    </row>
    <row r="21" spans="1:4">
      <c r="A21" s="16" t="s">
        <v>126</v>
      </c>
      <c r="B21" s="17">
        <f>((B15+B17)+B20)</f>
        <v>-600.0000000000005</v>
      </c>
      <c r="C21" s="17">
        <f>((C15+C17)+C20)</f>
        <v>9.094947017729282e-13</v>
      </c>
      <c r="D21" s="17">
        <f>((D15+D17)+D20)</f>
        <v>-9.094947017729282e-13</v>
      </c>
    </row>
    <row r="22" spans="1:4">
      <c r="A22" s="9" t="s">
        <v>127</v>
      </c>
      <c r="B22" s="15">
        <f>'Assumptions'!B35</f>
        <v>3100.0</v>
      </c>
      <c r="C22" s="15">
        <f>'Balance Sheet'!B7</f>
        <v>2499.9999999999995</v>
      </c>
      <c r="D22" s="15">
        <f>'Balance Sheet'!C7</f>
        <v>2500.0000000000005</v>
      </c>
    </row>
    <row r="23" spans="1:4">
      <c r="A23" s="18" t="s">
        <v>128</v>
      </c>
      <c r="B23" s="19">
        <f>(B22+B21)</f>
        <v>2499.9999999999995</v>
      </c>
      <c r="C23" s="19">
        <f>(C22+C21)</f>
        <v>2500.0000000000005</v>
      </c>
      <c r="D23" s="19">
        <f>(D22+D21)</f>
        <v>2499.9999999999995</v>
      </c>
    </row>
    <row r="26" spans="1:4">
      <c r="A26" s="8"/>
      <c r="B26" s="8" t="s">
        <v>23</v>
      </c>
      <c r="C26" s="8" t="s">
        <v>24</v>
      </c>
      <c r="D26" s="8" t="s">
        <v>25</v>
      </c>
    </row>
    <row r="27" spans="1:4">
      <c r="A27" s="9" t="s">
        <v>129</v>
      </c>
      <c r="B27" s="15">
        <f>((('Assumptions'!B35+B15)+B17)+B18)</f>
        <v>1634.5480250000019</v>
      </c>
      <c r="C27" s="15">
        <f>((('Balance Sheet'!B7+C15)+C17)+C18)</f>
        <v>20.587393079998947</v>
      </c>
      <c r="D27" s="15">
        <f>((('Balance Sheet'!C7+D15)+D17)+D18)</f>
        <v>395.5010167503424</v>
      </c>
    </row>
  </sheetData>
  <pageMargins left="0.7" right="0.7" top="0.75" bottom="0.75" header="0.3" footer="0.3"/>
  <pageSetup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17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62.7109375" customWidth="1"/>
    <col min="2" max="4" width="13.7109375" customWidth="1"/>
  </cols>
  <sheetData>
    <row r="1" spans="1:4">
      <c r="A1" s="1" t="s">
        <v>0</v>
      </c>
    </row>
    <row r="2" spans="1:4">
      <c r="A2" s="3" t="s">
        <v>13</v>
      </c>
    </row>
    <row r="3" spans="1:4">
      <c r="A3" s="7" t="s">
        <v>22</v>
      </c>
    </row>
    <row r="5" spans="1:4">
      <c r="A5" s="8"/>
      <c r="B5" s="8" t="s">
        <v>23</v>
      </c>
      <c r="C5" s="8" t="s">
        <v>24</v>
      </c>
      <c r="D5" s="8" t="s">
        <v>25</v>
      </c>
    </row>
    <row r="6" spans="1:4">
      <c r="A6" s="9" t="s">
        <v>85</v>
      </c>
      <c r="B6" s="27">
        <f>('Income Statement'!B11/'Income Statement'!B6)</f>
        <v>0.20000000000000004</v>
      </c>
      <c r="C6" s="27">
        <f>('Income Statement'!C11/'Income Statement'!C6)</f>
        <v>0.177</v>
      </c>
      <c r="D6" s="27">
        <f>('Income Statement'!D11/'Income Statement'!D6)</f>
        <v>0.18599999999999997</v>
      </c>
    </row>
    <row r="7" spans="1:4">
      <c r="A7" s="9" t="s">
        <v>86</v>
      </c>
      <c r="B7" s="27">
        <f>('Income Statement'!B14/'Income Statement'!B6)</f>
        <v>0.0920654027651296</v>
      </c>
      <c r="C7" s="27">
        <f>('Income Statement'!C14/'Income Statement'!C6)</f>
        <v>0.0720778024538537</v>
      </c>
      <c r="D7" s="27">
        <f>('Income Statement'!D14/'Income Statement'!D6)</f>
        <v>0.08685089936078487</v>
      </c>
    </row>
    <row r="8" spans="1:4">
      <c r="A8" s="9" t="s">
        <v>130</v>
      </c>
      <c r="B8" s="27">
        <f>('Income Statement'!B16/'Income Statement'!B6)</f>
        <v>0.049065402765129607</v>
      </c>
      <c r="C8" s="27">
        <f>('Income Statement'!C16/'Income Statement'!C6)</f>
        <v>0.0290778024538537</v>
      </c>
      <c r="D8" s="27">
        <f>('Income Statement'!D16/'Income Statement'!D6)</f>
        <v>0.04385089936078487</v>
      </c>
    </row>
    <row r="9" spans="1:4">
      <c r="A9" s="9" t="s">
        <v>131</v>
      </c>
      <c r="B9" s="27">
        <f>('Income Statement'!B20/'Income Statement'!B6)</f>
        <v>0.022585407732428217</v>
      </c>
      <c r="C9" s="27">
        <f>('Income Statement'!C20/'Income Statement'!C6)</f>
        <v>0.010212466652346442</v>
      </c>
      <c r="D9" s="27">
        <f>('Income Statement'!D20/'Income Statement'!D6)</f>
        <v>0.021805753184931394</v>
      </c>
    </row>
    <row r="10" spans="1:4">
      <c r="A10" s="9" t="s">
        <v>132</v>
      </c>
      <c r="B10" s="20" t="s">
        <v>140</v>
      </c>
      <c r="C10" s="27">
        <f>(('Income Statement'!C6/'Income Statement'!B6)-1)</f>
        <v>0.21277147666749463</v>
      </c>
      <c r="D10" s="27">
        <f>(('Income Statement'!D6/'Income Statement'!C6)-1)</f>
        <v>0.22456038154876756</v>
      </c>
    </row>
    <row r="11" spans="1:4">
      <c r="A11" s="9" t="s">
        <v>133</v>
      </c>
      <c r="B11" s="28">
        <f>('Balance Sheet'!B11/'Balance Sheet'!B19)</f>
        <v>0.8254137927489343</v>
      </c>
      <c r="C11" s="28">
        <f>('Balance Sheet'!C11/'Balance Sheet'!C19)</f>
        <v>0.7304819259046686</v>
      </c>
      <c r="D11" s="28">
        <f>('Balance Sheet'!D11/'Balance Sheet'!D19)</f>
        <v>0.6486634195821929</v>
      </c>
    </row>
    <row r="12" spans="1:4">
      <c r="A12" s="9" t="s">
        <v>134</v>
      </c>
      <c r="B12" s="28">
        <f>(('Balance Sheet'!B21+'Balance Sheet'!B22)/'Income Statement'!B14)</f>
        <v>2.845283723211078</v>
      </c>
      <c r="C12" s="28">
        <f>(('Balance Sheet'!C21+'Balance Sheet'!C22)/'Income Statement'!C14)</f>
        <v>3.370322120175113</v>
      </c>
      <c r="D12" s="28">
        <f>(('Balance Sheet'!D21+'Balance Sheet'!D22)/'Income Statement'!D14)</f>
        <v>2.4731643118086666</v>
      </c>
    </row>
    <row r="13" spans="1:4">
      <c r="A13" s="9" t="s">
        <v>135</v>
      </c>
      <c r="B13" s="27">
        <f>('Income Statement'!B20/((('Assumptions'!B47+'Assumptions'!B48)+'Balance Sheet'!B27)/2))</f>
        <v>0.1854829292514371</v>
      </c>
      <c r="C13" s="27">
        <f>('Income Statement'!C20/(('Balance Sheet'!B27+'Balance Sheet'!C27)/2))</f>
        <v>0.08894301653155438</v>
      </c>
      <c r="D13" s="27">
        <f>('Income Statement'!D20/(('Balance Sheet'!C27+'Balance Sheet'!D27)/2))</f>
        <v>0.20035191390339085</v>
      </c>
    </row>
    <row r="14" spans="1:4">
      <c r="A14" s="9" t="s">
        <v>136</v>
      </c>
      <c r="B14" s="29">
        <f>(('Balance Sheet'!B9/'Income Statement'!B7)*365)</f>
        <v>9.898305084745763</v>
      </c>
      <c r="C14" s="29">
        <f>(('Balance Sheet'!C9/'Income Statement'!C7)*365)</f>
        <v>9.605263157894738</v>
      </c>
      <c r="D14" s="29">
        <f>(('Balance Sheet'!D9/'Income Statement'!D7)*365)</f>
        <v>9.798657718120806</v>
      </c>
    </row>
    <row r="15" spans="1:4">
      <c r="A15" s="9" t="s">
        <v>137</v>
      </c>
      <c r="B15" s="29">
        <f>(('Balance Sheet'!B16/'Income Statement'!B7)*365)</f>
        <v>51.96610169491525</v>
      </c>
      <c r="C15" s="29">
        <f>(('Balance Sheet'!C16/'Income Statement'!C7)*365)</f>
        <v>50.42763157894737</v>
      </c>
      <c r="D15" s="29">
        <f>(('Balance Sheet'!D16/'Income Statement'!D7)*365)</f>
        <v>51.44295302013423</v>
      </c>
    </row>
    <row r="16" spans="1:4">
      <c r="A16" s="9" t="s">
        <v>138</v>
      </c>
      <c r="B16" s="15">
        <f>('Cash Flow'!B15+'Cash Flow'!B16)</f>
        <v>-465.4519749999986</v>
      </c>
      <c r="C16" s="15">
        <f>('Cash Flow'!C15+'Cash Flow'!C16)</f>
        <v>-1479.4126069200001</v>
      </c>
      <c r="D16" s="15">
        <f>('Cash Flow'!D15+'Cash Flow'!D16)</f>
        <v>-1104.4989832496585</v>
      </c>
    </row>
    <row r="17" spans="1:4">
      <c r="A17" s="9" t="s">
        <v>139</v>
      </c>
      <c r="B17" s="27">
        <f>(('Cash Flow'!B15+'Cash Flow'!B16)/'Income Statement'!B6)</f>
        <v>-0.010275728675111043</v>
      </c>
      <c r="C17" s="27">
        <f>(('Cash Flow'!C15+'Cash Flow'!C16)/'Income Statement'!C6)</f>
        <v>-0.026930727908399173</v>
      </c>
      <c r="D17" s="27">
        <f>(('Cash Flow'!D15+'Cash Flow'!D16)/'Income Statement'!D6)</f>
        <v>-0.016418893760214933</v>
      </c>
    </row>
  </sheetData>
  <pageMargins left="0.7" right="0.7" top="0.75" bottom="0.75" header="0.3" footer="0.3"/>
  <pageSetup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13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62.7109375" customWidth="1"/>
    <col min="2" max="2" width="13.7109375" customWidth="1"/>
  </cols>
  <sheetData>
    <row r="1" spans="1:2">
      <c r="A1" s="1" t="s">
        <v>0</v>
      </c>
    </row>
    <row r="2" spans="1:2">
      <c r="A2" s="3" t="s">
        <v>141</v>
      </c>
    </row>
    <row r="3" spans="1:2">
      <c r="A3" s="7" t="s">
        <v>22</v>
      </c>
    </row>
    <row r="5" spans="1:2">
      <c r="A5" s="8"/>
      <c r="B5" s="8" t="s">
        <v>142</v>
      </c>
    </row>
    <row r="6" spans="1:2">
      <c r="A6" s="9" t="s">
        <v>143</v>
      </c>
      <c r="B6" s="15">
        <f>'Assumptions'!B18</f>
        <v>1250.0</v>
      </c>
    </row>
    <row r="7" spans="1:2">
      <c r="A7" s="9" t="s">
        <v>144</v>
      </c>
      <c r="B7" s="15">
        <f>'Assumptions'!B16</f>
        <v>150.0</v>
      </c>
    </row>
    <row r="8" spans="1:2">
      <c r="A8" s="9" t="s">
        <v>145</v>
      </c>
      <c r="B8" s="30">
        <f>(B6+B7)</f>
        <v>1400.0</v>
      </c>
    </row>
    <row r="9" spans="1:2">
      <c r="A9" s="9" t="s">
        <v>146</v>
      </c>
      <c r="B9" s="15">
        <f>'Assumptions'!D8</f>
        <v>2480.0</v>
      </c>
    </row>
    <row r="10" spans="1:2">
      <c r="A10" s="9" t="s">
        <v>147</v>
      </c>
      <c r="B10" s="27">
        <f>'Income Statement'!D21</f>
        <v>0.18599999999999997</v>
      </c>
    </row>
    <row r="11" spans="1:2">
      <c r="A11" s="9" t="s">
        <v>148</v>
      </c>
      <c r="B11" s="30">
        <f>(B9*B10)</f>
        <v>461.2799999999999</v>
      </c>
    </row>
    <row r="12" spans="1:2">
      <c r="A12" s="9" t="s">
        <v>149</v>
      </c>
      <c r="B12" s="31">
        <f>(B11/B8)</f>
        <v>0.3294857142857142</v>
      </c>
    </row>
    <row r="13" spans="1:2">
      <c r="A13" s="9" t="s">
        <v>150</v>
      </c>
      <c r="B13" s="32">
        <f>(B8/B11)</f>
        <v>3.0350329517863344</v>
      </c>
    </row>
  </sheetData>
  <pageMargins left="0.7" right="0.7" top="0.75" bottom="0.75" header="0.3" footer="0.3"/>
  <pageSetup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2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62.7109375" customWidth="1"/>
    <col min="2" max="6" width="13.7109375" customWidth="1"/>
  </cols>
  <sheetData>
    <row r="1" spans="1:6">
      <c r="A1" s="1" t="s">
        <v>0</v>
      </c>
    </row>
    <row r="2" spans="1:6">
      <c r="A2" s="3" t="s">
        <v>151</v>
      </c>
    </row>
    <row r="3" spans="1:6">
      <c r="A3" s="7" t="s">
        <v>22</v>
      </c>
    </row>
    <row r="5" spans="1:6">
      <c r="A5" s="8"/>
      <c r="B5" s="8" t="s">
        <v>152</v>
      </c>
      <c r="C5" s="8" t="s">
        <v>153</v>
      </c>
      <c r="D5" s="8" t="s">
        <v>154</v>
      </c>
      <c r="E5" s="8" t="s">
        <v>85</v>
      </c>
      <c r="F5" s="8" t="s">
        <v>75</v>
      </c>
    </row>
    <row r="6" spans="1:6">
      <c r="A6" s="9" t="s">
        <v>155</v>
      </c>
      <c r="B6" s="33">
        <f>18</f>
        <v>18.0</v>
      </c>
      <c r="C6" s="30">
        <f>45180</f>
        <v>45180.0</v>
      </c>
      <c r="D6" s="30">
        <f>(45180/18)</f>
        <v>2510.0</v>
      </c>
      <c r="E6" s="31">
        <f>0.196</f>
        <v>0.196</v>
      </c>
      <c r="F6" s="30">
        <f>(45180*0.196)</f>
        <v>8855.28</v>
      </c>
    </row>
    <row r="7" spans="1:6">
      <c r="A7" s="9" t="s">
        <v>156</v>
      </c>
      <c r="B7" s="33">
        <f>3</f>
        <v>3.0</v>
      </c>
      <c r="C7" s="30">
        <f>7410</f>
        <v>7410.0</v>
      </c>
      <c r="D7" s="30">
        <f>(7410/3)</f>
        <v>2470.0</v>
      </c>
      <c r="E7" s="31">
        <f>0.184</f>
        <v>0.184</v>
      </c>
      <c r="F7" s="30">
        <f>(7410*0.184)</f>
        <v>1363.44</v>
      </c>
    </row>
    <row r="8" spans="1:6">
      <c r="A8" s="9" t="s">
        <v>157</v>
      </c>
      <c r="B8" s="33">
        <f>4</f>
        <v>4.0</v>
      </c>
      <c r="C8" s="30">
        <f>9520</f>
        <v>9520.0</v>
      </c>
      <c r="D8" s="30">
        <f>(9520/4)</f>
        <v>2380.0</v>
      </c>
      <c r="E8" s="31">
        <f>0.171</f>
        <v>0.171</v>
      </c>
      <c r="F8" s="30">
        <f>(9520*0.171)</f>
        <v>1627.92</v>
      </c>
    </row>
    <row r="9" spans="1:6">
      <c r="A9" s="9" t="s">
        <v>158</v>
      </c>
      <c r="B9" s="33">
        <f>5</f>
        <v>5.0</v>
      </c>
      <c r="C9" s="30">
        <f>5160</f>
        <v>5160.0</v>
      </c>
      <c r="D9" s="30">
        <f>(5160/5)</f>
        <v>1032.0</v>
      </c>
      <c r="E9" s="31">
        <f>0.129</f>
        <v>0.129</v>
      </c>
      <c r="F9" s="30">
        <f>(5160*0.129)</f>
        <v>665.64</v>
      </c>
    </row>
    <row r="10" spans="1:6">
      <c r="A10" s="18" t="s">
        <v>159</v>
      </c>
      <c r="B10" s="34">
        <f>(18+3+4+5)</f>
        <v>30.0</v>
      </c>
      <c r="C10" s="19">
        <f>(45180+7410+9520+5160)</f>
        <v>67270.0</v>
      </c>
      <c r="D10" s="19">
        <f>((45180+7410+9520+5160)/(18+3+4+5))</f>
        <v>2242.3333333333335</v>
      </c>
      <c r="E10" s="35">
        <f>(((45180*0.196)+(7410*0.184)+(9520*0.171)+(5160*0.129))/(45180+7410+9520+5160))</f>
        <v>0.18600089192805114</v>
      </c>
      <c r="F10" s="19">
        <f>((45180*0.196)+(7410*0.184)+(9520*0.171)+(5160*0.129))</f>
        <v>12512.28</v>
      </c>
    </row>
    <row r="11" spans="1:6">
      <c r="A11" s="9" t="s">
        <v>160</v>
      </c>
      <c r="B11" s="20" t="s">
        <v>140</v>
      </c>
      <c r="C11" s="15">
        <f>((45180+7410+9520+5160)-'Income Statement'!D6)</f>
        <v>0.0</v>
      </c>
      <c r="D11" s="20" t="s">
        <v>140</v>
      </c>
      <c r="E11" s="20" t="s">
        <v>140</v>
      </c>
      <c r="F11" s="20" t="s">
        <v>140</v>
      </c>
    </row>
    <row r="12" spans="1:6">
      <c r="A12" s="9" t="s">
        <v>161</v>
      </c>
      <c r="B12" s="20" t="s">
        <v>140</v>
      </c>
      <c r="C12" s="20" t="s">
        <v>140</v>
      </c>
      <c r="D12" s="20" t="s">
        <v>140</v>
      </c>
      <c r="E12" s="20" t="s">
        <v>140</v>
      </c>
      <c r="F12" s="15">
        <f>(((45180*0.196)+(7410*0.184)+(9520*0.171)+(5160*0.129))-'Income Statement'!D11)</f>
        <v>0.06000000000312866</v>
      </c>
    </row>
  </sheetData>
  <pageMargins left="0.7" right="0.7" top="0.75" bottom="0.75" header="0.3" footer="0.3"/>
  <pageSetup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7"/>
  <sheetViews>
    <sheetView showGridLines="0" workbookViewId="0"/>
  </sheetViews>
  <sheetFormatPr defaultRowHeight="15"/>
  <cols>
    <col min="1" max="1" width="32.7109375" customWidth="1"/>
  </cols>
  <sheetData>
    <row r="1" spans="1:6">
      <c r="A1" s="1" t="s">
        <v>0</v>
      </c>
    </row>
    <row r="2" spans="1:6">
      <c r="A2" s="3" t="s">
        <v>162</v>
      </c>
    </row>
    <row r="3" spans="1:6">
      <c r="A3" s="7" t="s">
        <v>22</v>
      </c>
    </row>
    <row r="5" spans="1:6">
      <c r="A5" s="8"/>
      <c r="B5" s="8" t="s">
        <v>163</v>
      </c>
      <c r="C5" s="8" t="s">
        <v>164</v>
      </c>
      <c r="D5" s="8" t="s">
        <v>165</v>
      </c>
      <c r="E5" s="8" t="s">
        <v>166</v>
      </c>
      <c r="F5" s="8" t="s">
        <v>167</v>
      </c>
    </row>
    <row r="6" spans="1:6">
      <c r="A6" s="9" t="s">
        <v>70</v>
      </c>
      <c r="B6" s="30">
        <f>68900</f>
        <v>68900.0</v>
      </c>
      <c r="C6" s="15">
        <f>'Income Statement'!D6</f>
        <v>67270.0</v>
      </c>
      <c r="D6" s="30">
        <f>(C6-B6)</f>
        <v>-1630.0</v>
      </c>
      <c r="E6" s="31">
        <f>(D6/B6)</f>
        <v>-0.023657474600870827</v>
      </c>
      <c r="F6" s="20" t="s">
        <v>168</v>
      </c>
    </row>
    <row r="7" spans="1:6">
      <c r="A7" s="9" t="s">
        <v>71</v>
      </c>
      <c r="B7" s="30">
        <f>(68900*0.295)</f>
        <v>20325.5</v>
      </c>
      <c r="C7" s="15">
        <f>'Income Statement'!D7</f>
        <v>20046.46</v>
      </c>
      <c r="D7" s="30">
        <f>(B7-C7)</f>
        <v>279.0400000000009</v>
      </c>
      <c r="E7" s="31">
        <f>(D7/B7)</f>
        <v>0.013728567562913624</v>
      </c>
      <c r="F7" s="20" t="s">
        <v>169</v>
      </c>
    </row>
    <row r="8" spans="1:6">
      <c r="A8" s="9" t="s">
        <v>72</v>
      </c>
      <c r="B8" s="30">
        <f>(68900*0.324)</f>
        <v>22323.600000000002</v>
      </c>
      <c r="C8" s="15">
        <f>'Income Statement'!D8</f>
        <v>22131.83</v>
      </c>
      <c r="D8" s="30">
        <f>(B8-C8)</f>
        <v>191.77000000000044</v>
      </c>
      <c r="E8" s="31">
        <f>(D8/B8)</f>
        <v>0.008590460320020088</v>
      </c>
      <c r="F8" s="20" t="s">
        <v>169</v>
      </c>
    </row>
    <row r="9" spans="1:6">
      <c r="A9" s="9" t="s">
        <v>73</v>
      </c>
      <c r="B9" s="30">
        <f>(68900*0.084)</f>
        <v>5787.6</v>
      </c>
      <c r="C9" s="15">
        <f>'Income Statement'!D9</f>
        <v>5717.950000000001</v>
      </c>
      <c r="D9" s="30">
        <f>(B9-C9)</f>
        <v>69.64999999999964</v>
      </c>
      <c r="E9" s="31">
        <f>(D9/B9)</f>
        <v>0.012034349298500177</v>
      </c>
      <c r="F9" s="20" t="s">
        <v>169</v>
      </c>
    </row>
    <row r="10" spans="1:6">
      <c r="A10" s="9" t="s">
        <v>74</v>
      </c>
      <c r="B10" s="30">
        <f>(68900*0.1)</f>
        <v>6890.0</v>
      </c>
      <c r="C10" s="15">
        <f>'Income Statement'!D10</f>
        <v>6861.54</v>
      </c>
      <c r="D10" s="30">
        <f>(B10-C10)</f>
        <v>28.460000000000036</v>
      </c>
      <c r="E10" s="31">
        <f>(D10/B10)</f>
        <v>0.0041306240928882495</v>
      </c>
      <c r="F10" s="20" t="s">
        <v>169</v>
      </c>
    </row>
    <row r="11" spans="1:6">
      <c r="A11" s="16" t="s">
        <v>75</v>
      </c>
      <c r="B11" s="17">
        <f>(B6-((68900*0.295)+(68900*0.324)+(68900*0.084)+(68900*0.1)))</f>
        <v>13573.299999999996</v>
      </c>
      <c r="C11" s="36">
        <f>'Income Statement'!D11</f>
        <v>12512.219999999998</v>
      </c>
      <c r="D11" s="17">
        <f>(C11-B11)</f>
        <v>-1061.079999999998</v>
      </c>
      <c r="E11" s="37">
        <f>(D11/B11)</f>
        <v>-0.07817406231351244</v>
      </c>
      <c r="F11" s="20" t="s">
        <v>168</v>
      </c>
    </row>
    <row r="14" spans="1:6">
      <c r="A14" s="8"/>
      <c r="B14" s="8" t="s">
        <v>170</v>
      </c>
      <c r="C14" s="8" t="s">
        <v>171</v>
      </c>
      <c r="D14" s="8" t="s">
        <v>172</v>
      </c>
      <c r="E14" s="8" t="s">
        <v>173</v>
      </c>
      <c r="F14" s="8" t="s">
        <v>159</v>
      </c>
    </row>
    <row r="15" spans="1:6">
      <c r="A15" s="9" t="s">
        <v>174</v>
      </c>
      <c r="B15" s="30">
        <f>16200</f>
        <v>16200.0</v>
      </c>
      <c r="C15" s="30">
        <f>17400</f>
        <v>17400.0</v>
      </c>
      <c r="D15" s="30">
        <f>17900</f>
        <v>17900.0</v>
      </c>
      <c r="E15" s="30">
        <f>17400</f>
        <v>17400.0</v>
      </c>
      <c r="F15" s="30">
        <f>(B15+C15+D15+E15)</f>
        <v>68900.0</v>
      </c>
    </row>
    <row r="16" spans="1:6">
      <c r="A16" s="9" t="s">
        <v>175</v>
      </c>
      <c r="B16" s="30">
        <f>15950</f>
        <v>15950.0</v>
      </c>
      <c r="C16" s="30">
        <f>16980</f>
        <v>16980.0</v>
      </c>
      <c r="D16" s="30">
        <f>17520</f>
        <v>17520.0</v>
      </c>
      <c r="E16" s="30">
        <f>16820</f>
        <v>16820.0</v>
      </c>
      <c r="F16" s="30">
        <f>(B16+C16+D16+E16)</f>
        <v>67270.0</v>
      </c>
    </row>
    <row r="17" spans="1:6">
      <c r="A17" s="9" t="s">
        <v>165</v>
      </c>
      <c r="B17" s="30">
        <f>(B16-B15)</f>
        <v>-250.0</v>
      </c>
      <c r="C17" s="30">
        <f>(C16-C15)</f>
        <v>-420.0</v>
      </c>
      <c r="D17" s="30">
        <f>(D16-D15)</f>
        <v>-380.0</v>
      </c>
      <c r="E17" s="30">
        <f>(E16-E15)</f>
        <v>-580.0</v>
      </c>
      <c r="F17" s="30">
        <f>(F16-F15)</f>
        <v>-1630.0</v>
      </c>
    </row>
  </sheetData>
  <pageMargins left="0.7" right="0.7" top="0.75" bottom="0.75" header="0.3" footer="0.3"/>
  <pageSetup fitToHeight="0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25"/>
  <sheetViews>
    <sheetView showGridLines="0" workbookViewId="0"/>
  </sheetViews>
  <sheetFormatPr defaultRowHeight="15"/>
  <cols>
    <col min="1" max="1" width="46.7109375" customWidth="1"/>
    <col min="2" max="4" width="16.7109375" customWidth="1"/>
  </cols>
  <sheetData>
    <row r="1" spans="1:3">
      <c r="A1" s="1" t="s">
        <v>17</v>
      </c>
    </row>
    <row r="3" spans="1:3">
      <c r="A3" s="16" t="s">
        <v>176</v>
      </c>
      <c r="B3" s="16" t="str">
        <f>IF(COUNTIF(C5:C25,"CHECK")=0,"ALL OK","CHECK FAILURES")</f>
        <v>ALL OK</v>
      </c>
    </row>
    <row r="4" spans="1:3">
      <c r="A4" s="8" t="s">
        <v>177</v>
      </c>
      <c r="B4" s="8" t="s">
        <v>178</v>
      </c>
      <c r="C4" s="8" t="s">
        <v>167</v>
      </c>
    </row>
    <row r="5" spans="1:3">
      <c r="A5" s="9" t="s">
        <v>179</v>
      </c>
      <c r="B5" s="30">
        <f>('Balance Sheet'!B14)-('Balance Sheet'!B28)</f>
        <v>0.0</v>
      </c>
      <c r="C5" s="9" t="str">
        <f>IF(ABS(B5)&lt;0.5,"OK","CHECK")</f>
        <v>OK</v>
      </c>
    </row>
    <row r="6" spans="1:3">
      <c r="A6" s="9" t="s">
        <v>180</v>
      </c>
      <c r="B6" s="30">
        <f>('Balance Sheet'!C14)-('Balance Sheet'!C28)</f>
        <v>0.0</v>
      </c>
      <c r="C6" s="9" t="str">
        <f>IF(ABS(B6)&lt;0.5,"OK","CHECK")</f>
        <v>OK</v>
      </c>
    </row>
    <row r="7" spans="1:3">
      <c r="A7" s="9" t="s">
        <v>181</v>
      </c>
      <c r="B7" s="30">
        <f>('Balance Sheet'!D14)-('Balance Sheet'!D28)</f>
        <v>1.4551915228366852e-11</v>
      </c>
      <c r="C7" s="9" t="str">
        <f>IF(ABS(B7)&lt;0.5,"OK","CHECK")</f>
        <v>OK</v>
      </c>
    </row>
    <row r="8" spans="1:3">
      <c r="A8" s="9" t="s">
        <v>182</v>
      </c>
      <c r="B8" s="30">
        <f>('Cash Flow'!B23)-('Balance Sheet'!B7)</f>
        <v>0.0</v>
      </c>
      <c r="C8" s="9" t="str">
        <f>IF(ABS(B8)&lt;0.5,"OK","CHECK")</f>
        <v>OK</v>
      </c>
    </row>
    <row r="9" spans="1:3">
      <c r="A9" s="9" t="s">
        <v>183</v>
      </c>
      <c r="B9" s="30">
        <f>('Cash Flow'!C23)-('Balance Sheet'!C7)</f>
        <v>0.0</v>
      </c>
      <c r="C9" s="9" t="str">
        <f>IF(ABS(B9)&lt;0.5,"OK","CHECK")</f>
        <v>OK</v>
      </c>
    </row>
    <row r="10" spans="1:3">
      <c r="A10" s="9" t="s">
        <v>184</v>
      </c>
      <c r="B10" s="30">
        <f>('Cash Flow'!D23)-('Balance Sheet'!D7)</f>
        <v>0.0</v>
      </c>
      <c r="C10" s="9" t="str">
        <f>IF(ABS(B10)&lt;0.5,"OK","CHECK")</f>
        <v>OK</v>
      </c>
    </row>
    <row r="11" spans="1:3">
      <c r="A11" s="9" t="s">
        <v>185</v>
      </c>
      <c r="B11" s="30">
        <f>('Income Statement'!B20)-('Cash Flow'!B6)</f>
        <v>0.0</v>
      </c>
      <c r="C11" s="9" t="str">
        <f>IF(ABS(B11)&lt;0.5,"OK","CHECK")</f>
        <v>OK</v>
      </c>
    </row>
    <row r="12" spans="1:3">
      <c r="A12" s="9" t="s">
        <v>186</v>
      </c>
      <c r="B12" s="30">
        <f>('Income Statement'!C20)-('Cash Flow'!C6)</f>
        <v>0.0</v>
      </c>
      <c r="C12" s="9" t="str">
        <f>IF(ABS(B12)&lt;0.5,"OK","CHECK")</f>
        <v>OK</v>
      </c>
    </row>
    <row r="13" spans="1:3">
      <c r="A13" s="9" t="s">
        <v>187</v>
      </c>
      <c r="B13" s="30">
        <f>('Income Statement'!D20)-('Cash Flow'!D6)</f>
        <v>0.0</v>
      </c>
      <c r="C13" s="9" t="str">
        <f>IF(ABS(B13)&lt;0.5,"OK","CHECK")</f>
        <v>OK</v>
      </c>
    </row>
    <row r="14" spans="1:3">
      <c r="A14" s="9" t="s">
        <v>188</v>
      </c>
      <c r="B14" s="30">
        <f>('Cash Flow'!B22)-('Assumptions'!B35)</f>
        <v>0.0</v>
      </c>
      <c r="C14" s="9" t="str">
        <f>IF(ABS(B14)&lt;0.5,"OK","CHECK")</f>
        <v>OK</v>
      </c>
    </row>
    <row r="15" spans="1:3">
      <c r="A15" s="9" t="s">
        <v>189</v>
      </c>
      <c r="B15" s="30">
        <f>('Cash Flow'!C22)-('Cash Flow'!B23)</f>
        <v>0.0</v>
      </c>
      <c r="C15" s="9" t="str">
        <f>IF(ABS(B15)&lt;0.5,"OK","CHECK")</f>
        <v>OK</v>
      </c>
    </row>
    <row r="16" spans="1:3">
      <c r="A16" s="9" t="s">
        <v>190</v>
      </c>
      <c r="B16" s="30">
        <f>('Cash Flow'!D22)-('Cash Flow'!C23)</f>
        <v>0.0</v>
      </c>
      <c r="C16" s="9" t="str">
        <f>IF(ABS(B16)&lt;0.5,"OK","CHECK")</f>
        <v>OK</v>
      </c>
    </row>
    <row r="17" spans="1:3">
      <c r="A17" s="9" t="s">
        <v>191</v>
      </c>
      <c r="B17" s="30">
        <f>('Balance Sheet'!B26)-(('Assumptions'!B48+'Income Statement'!B20))</f>
        <v>0.0</v>
      </c>
      <c r="C17" s="9" t="str">
        <f>IF(ABS(B17)&lt;0.5,"OK","CHECK")</f>
        <v>OK</v>
      </c>
    </row>
    <row r="18" spans="1:3">
      <c r="A18" s="9" t="s">
        <v>192</v>
      </c>
      <c r="B18" s="30">
        <f>('Balance Sheet'!C26)-(('Balance Sheet'!B26+'Income Statement'!C20))</f>
        <v>0.0</v>
      </c>
      <c r="C18" s="9" t="str">
        <f>IF(ABS(B18)&lt;0.5,"OK","CHECK")</f>
        <v>OK</v>
      </c>
    </row>
    <row r="19" spans="1:3">
      <c r="A19" s="9" t="s">
        <v>193</v>
      </c>
      <c r="B19" s="30">
        <f>('Balance Sheet'!D26)-(('Balance Sheet'!C26+'Income Statement'!D20))</f>
        <v>0.0</v>
      </c>
      <c r="C19" s="9" t="str">
        <f>IF(ABS(B19)&lt;0.5,"OK","CHECK")</f>
        <v>OK</v>
      </c>
    </row>
    <row r="20" spans="1:3">
      <c r="A20" s="9" t="s">
        <v>194</v>
      </c>
      <c r="B20" s="30">
        <f>('Balance Sheet'!B11)-(('Balance Sheet'!B7+'Balance Sheet'!B8+'Balance Sheet'!B9+'Balance Sheet'!B10))</f>
        <v>0.0</v>
      </c>
      <c r="C20" s="9" t="str">
        <f>IF(ABS(B20)&lt;0.5,"OK","CHECK")</f>
        <v>OK</v>
      </c>
    </row>
    <row r="21" spans="1:3">
      <c r="A21" s="9" t="s">
        <v>195</v>
      </c>
      <c r="B21" s="30">
        <f>('Balance Sheet'!C11)-(('Balance Sheet'!C7+'Balance Sheet'!C8+'Balance Sheet'!C9+'Balance Sheet'!C10))</f>
        <v>0.0</v>
      </c>
      <c r="C21" s="9" t="str">
        <f>IF(ABS(B21)&lt;0.5,"OK","CHECK")</f>
        <v>OK</v>
      </c>
    </row>
    <row r="22" spans="1:3">
      <c r="A22" s="9" t="s">
        <v>196</v>
      </c>
      <c r="B22" s="30">
        <f>('Balance Sheet'!D11)-(('Balance Sheet'!D7+'Balance Sheet'!D8+'Balance Sheet'!D9+'Balance Sheet'!D10))</f>
        <v>0.0</v>
      </c>
      <c r="C22" s="9" t="str">
        <f>IF(ABS(B22)&lt;0.5,"OK","CHECK")</f>
        <v>OK</v>
      </c>
    </row>
    <row r="23" spans="1:3">
      <c r="A23" s="9" t="s">
        <v>197</v>
      </c>
      <c r="B23" s="30">
        <f>('Balance Sheet'!B23)-(('Balance Sheet'!B19+'Balance Sheet'!B20+'Balance Sheet'!B21+'Balance Sheet'!B22))</f>
        <v>0.0</v>
      </c>
      <c r="C23" s="9" t="str">
        <f>IF(ABS(B23)&lt;0.5,"OK","CHECK")</f>
        <v>OK</v>
      </c>
    </row>
    <row r="24" spans="1:3">
      <c r="A24" s="9" t="s">
        <v>198</v>
      </c>
      <c r="B24" s="30">
        <f>('Balance Sheet'!C23)-(('Balance Sheet'!C19+'Balance Sheet'!C20+'Balance Sheet'!C21+'Balance Sheet'!C22))</f>
        <v>0.0</v>
      </c>
      <c r="C24" s="9" t="str">
        <f>IF(ABS(B24)&lt;0.5,"OK","CHECK")</f>
        <v>OK</v>
      </c>
    </row>
    <row r="25" spans="1:3">
      <c r="A25" s="9" t="s">
        <v>199</v>
      </c>
      <c r="B25" s="30">
        <f>('Balance Sheet'!D23)-(('Balance Sheet'!D19+'Balance Sheet'!D20+'Balance Sheet'!D21+'Balance Sheet'!D22))</f>
        <v>0.0</v>
      </c>
      <c r="C25" s="9" t="str">
        <f>IF(ABS(B25)&lt;0.5,"OK","CHECK")</f>
        <v>OK</v>
      </c>
    </row>
  </sheetData>
  <pageMargins left="0.7" right="0.7" top="0.75" bottom="0.75" header="0.3" footer="0.3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Cover</vt:lpstr>
      <vt:lpstr>Assumptions</vt:lpstr>
      <vt:lpstr>Income Statement</vt:lpstr>
      <vt:lpstr>Balance Sheet</vt:lpstr>
      <vt:lpstr>Cash Flow</vt:lpstr>
      <vt:lpstr>Ratios</vt:lpstr>
      <vt:lpstr>Unit Economics</vt:lpstr>
      <vt:lpstr>Cohorts</vt:lpstr>
      <vt:lpstr>Budget vs Actual</vt:lpstr>
      <vt:lpstr>Checks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Sunfield Kitchen Group FY2025 Financial Model</dc:title>
  <dc:subject/>
  <dc:creator>George Murad</dc:creator>
  <cp:keywords/>
  <dc:description/>
  <cp:lastModifiedBy>George Murad</cp:lastModifiedBy>
  <dcterms:created xsi:type="dcterms:W3CDTF">2026-09-28T07:17:37Z</dcterms:created>
  <dcterms:modified xsi:type="dcterms:W3CDTF">2026-09-28T07:17:37Z</dcterms:modified>
</cp:coreProperties>
</file>