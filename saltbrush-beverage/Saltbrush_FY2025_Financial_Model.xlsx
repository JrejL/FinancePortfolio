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ver" sheetId="1" r:id="rId1"/>
    <sheet name="Assumptions" sheetId="2" r:id="rId2"/>
    <sheet name="Income Statement" sheetId="3" r:id="rId3"/>
    <sheet name="Balance Sheet" sheetId="4" r:id="rId4"/>
    <sheet name="Cash Flow" sheetId="5" r:id="rId5"/>
    <sheet name="Ratios" sheetId="6" r:id="rId6"/>
    <sheet name="Variances" sheetId="7" r:id="rId7"/>
    <sheet name="Margin Bridge" sheetId="8" r:id="rId8"/>
    <sheet name="13 Week Cash" sheetId="9" r:id="rId9"/>
    <sheet name="Checks" sheetId="10" r:id="rId10"/>
  </sheets>
  <calcPr calcId="124519" fullCalcOnLoad="1"/>
</workbook>
</file>

<file path=xl/sharedStrings.xml><?xml version="1.0" encoding="utf-8"?>
<sst xmlns="http://schemas.openxmlformats.org/spreadsheetml/2006/main" count="259" uniqueCount="203">
  <si>
    <t>Saltbrush Beverage Co.</t>
  </si>
  <si>
    <t>Sparkling botanical water canned in Southern California</t>
  </si>
  <si>
    <t>Fiscal years covered: FY2023, FY2024, FY2025</t>
  </si>
  <si>
    <t>Industry: Consumer products manufacturer (beverages)</t>
  </si>
  <si>
    <t>Role fit: Cost analysis, FP&amp;A, Treasury</t>
  </si>
  <si>
    <t>Fictional company. All figures are illustrative and were built for this portfolio.</t>
  </si>
  <si>
    <t>Prepared by George Murad</t>
  </si>
  <si>
    <t>Contents</t>
  </si>
  <si>
    <t>Cover</t>
  </si>
  <si>
    <t>Assumptions</t>
  </si>
  <si>
    <t>Income Statement</t>
  </si>
  <si>
    <t>Balance Sheet</t>
  </si>
  <si>
    <t>Cash Flow</t>
  </si>
  <si>
    <t>Ratios</t>
  </si>
  <si>
    <t>Variances</t>
  </si>
  <si>
    <t>Margin Bridge</t>
  </si>
  <si>
    <t>13 Week Cash</t>
  </si>
  <si>
    <t>Checks</t>
  </si>
  <si>
    <t>Color legend</t>
  </si>
  <si>
    <t>Hardcoded input</t>
  </si>
  <si>
    <t>Formula, same sheet</t>
  </si>
  <si>
    <t>Formula, pulls from another sheet</t>
  </si>
  <si>
    <t>($ in thousands, except per case amounts)</t>
  </si>
  <si>
    <t>FY2023</t>
  </si>
  <si>
    <t>FY2024</t>
  </si>
  <si>
    <t>FY2025</t>
  </si>
  <si>
    <t>Cases sold (thousands)</t>
  </si>
  <si>
    <t>Net price per case</t>
  </si>
  <si>
    <t>Standard cost per case</t>
  </si>
  <si>
    <t>Manufacturing variances, FY2023</t>
  </si>
  <si>
    <t>Manufacturing variances, FY2024</t>
  </si>
  <si>
    <t>Selling and distribution, % of revenue</t>
  </si>
  <si>
    <t>Marketing, % of revenue</t>
  </si>
  <si>
    <t>General and administrative, % of revenue</t>
  </si>
  <si>
    <t>Depreciation, % of beginning net PP&amp;E</t>
  </si>
  <si>
    <t>Capital expenditures</t>
  </si>
  <si>
    <t>Equipment loan, opening balance</t>
  </si>
  <si>
    <t>Equipment loan, annual repayment</t>
  </si>
  <si>
    <t>Equipment loan interest rate</t>
  </si>
  <si>
    <t>Revolver capacity</t>
  </si>
  <si>
    <t>Revolver interest rate</t>
  </si>
  <si>
    <t>Minimum cash</t>
  </si>
  <si>
    <t>Income tax rate</t>
  </si>
  <si>
    <t>Accounts receivable days</t>
  </si>
  <si>
    <t>Inventory days</t>
  </si>
  <si>
    <t>Prepaid expenses, % of revenue</t>
  </si>
  <si>
    <t>Accounts payable days</t>
  </si>
  <si>
    <t>Accrued liabilities, % of revenue</t>
  </si>
  <si>
    <t>Opening balance sheet FY2022: Cash</t>
  </si>
  <si>
    <t>Opening balance sheet FY2022: Accounts receivable</t>
  </si>
  <si>
    <t>Opening balance sheet FY2022: Inventory</t>
  </si>
  <si>
    <t>Opening balance sheet FY2022: Prepaid expenses</t>
  </si>
  <si>
    <t>Opening balance sheet FY2022: Property, plant and equipment, net</t>
  </si>
  <si>
    <t>Opening balance sheet FY2022: Accounts payable</t>
  </si>
  <si>
    <t>Opening balance sheet FY2022: Accrued liabilities</t>
  </si>
  <si>
    <t>Opening balance sheet FY2022: Revolver</t>
  </si>
  <si>
    <t>Opening balance sheet FY2022: Equipment loan</t>
  </si>
  <si>
    <t>Opening balance sheet FY2022: Common stock and paid in capital</t>
  </si>
  <si>
    <t>Opening balance sheet FY2022: Retained earnings</t>
  </si>
  <si>
    <t>($ in thousands, except per case amounts)  For the years ended December 31</t>
  </si>
  <si>
    <t>Revenue</t>
  </si>
  <si>
    <t>Cost of sales at standard</t>
  </si>
  <si>
    <t>Manufacturing variances</t>
  </si>
  <si>
    <t>Gross profit</t>
  </si>
  <si>
    <t>Selling and distribution</t>
  </si>
  <si>
    <t>Marketing</t>
  </si>
  <si>
    <t>General and administrative</t>
  </si>
  <si>
    <t>EBITDA</t>
  </si>
  <si>
    <t>Depreciation</t>
  </si>
  <si>
    <t>Operating income</t>
  </si>
  <si>
    <t>Interest expense</t>
  </si>
  <si>
    <t>Income before taxes</t>
  </si>
  <si>
    <t>Income tax expense</t>
  </si>
  <si>
    <t>Net income</t>
  </si>
  <si>
    <t>Gross margin</t>
  </si>
  <si>
    <t>($ in thousands, except per case amounts)  As of December 31</t>
  </si>
  <si>
    <t>Assets</t>
  </si>
  <si>
    <t>Cash and cash equivalents</t>
  </si>
  <si>
    <t>Accounts receivable</t>
  </si>
  <si>
    <t>Inventory</t>
  </si>
  <si>
    <t>Prepaid expenses</t>
  </si>
  <si>
    <t>Total current assets</t>
  </si>
  <si>
    <t>Property, plant and equipment, net</t>
  </si>
  <si>
    <t>Total assets</t>
  </si>
  <si>
    <t>Liabilities</t>
  </si>
  <si>
    <t>Accounts payable</t>
  </si>
  <si>
    <t>Accrued liabilities</t>
  </si>
  <si>
    <t>Total current liabilities</t>
  </si>
  <si>
    <t>Revolver</t>
  </si>
  <si>
    <t>Equipment loan</t>
  </si>
  <si>
    <t>Total liabilities</t>
  </si>
  <si>
    <t>Equity</t>
  </si>
  <si>
    <t>Common stock and paid in capital</t>
  </si>
  <si>
    <t>Retained earnings</t>
  </si>
  <si>
    <t>Total equity</t>
  </si>
  <si>
    <t>Total liabilities and equity</t>
  </si>
  <si>
    <t>Cash Flow Statement</t>
  </si>
  <si>
    <t>(Increase) decrease in accounts receivable</t>
  </si>
  <si>
    <t>(Increase) decrease in inventory</t>
  </si>
  <si>
    <t>(Increase) decrease in prepaid expenses</t>
  </si>
  <si>
    <t>Increase (decrease) in accounts payable</t>
  </si>
  <si>
    <t>Increase (decrease) in accrued liabilities</t>
  </si>
  <si>
    <t>Cash from operating activities</t>
  </si>
  <si>
    <t>Cash from investing activities</t>
  </si>
  <si>
    <t>Equipment loan repayment</t>
  </si>
  <si>
    <t>Revolver draw (repayment)</t>
  </si>
  <si>
    <t>Cash from financing activities</t>
  </si>
  <si>
    <t>Net change in cash</t>
  </si>
  <si>
    <t>Beginning cash</t>
  </si>
  <si>
    <t>Ending cash</t>
  </si>
  <si>
    <t>EBITDA margin</t>
  </si>
  <si>
    <t>Operating margin</t>
  </si>
  <si>
    <t>Net margin</t>
  </si>
  <si>
    <t>Revenue growth</t>
  </si>
  <si>
    <t>Current ratio</t>
  </si>
  <si>
    <t>Debt to EBITDA</t>
  </si>
  <si>
    <t>Return on equity</t>
  </si>
  <si>
    <t>Days sales outstanding</t>
  </si>
  <si>
    <t>Days inventory outstanding</t>
  </si>
  <si>
    <t>Days payable outstanding</t>
  </si>
  <si>
    <t>Cash conversion cycle</t>
  </si>
  <si>
    <t>Free cash flow</t>
  </si>
  <si>
    <t>FCF margin</t>
  </si>
  <si>
    <t>FY2025 standard cost variances</t>
  </si>
  <si>
    <t>Amount</t>
  </si>
  <si>
    <t>U/F</t>
  </si>
  <si>
    <t>Cans and ends (units): price variance</t>
  </si>
  <si>
    <t>U</t>
  </si>
  <si>
    <t>Cans and ends (units): usage variance</t>
  </si>
  <si>
    <t>Botanicals and flavor (kg): price variance</t>
  </si>
  <si>
    <t>F</t>
  </si>
  <si>
    <t>Botanicals and flavor (kg): usage variance</t>
  </si>
  <si>
    <t>Juice concentrate (gallons): price variance</t>
  </si>
  <si>
    <t>Juice concentrate (gallons): usage variance</t>
  </si>
  <si>
    <t>Trays and film (sets): price variance</t>
  </si>
  <si>
    <t>Trays and film (sets): usage variance</t>
  </si>
  <si>
    <t>Labor: rate variance</t>
  </si>
  <si>
    <t>Labor: efficiency variance</t>
  </si>
  <si>
    <t>Overhead: spending variance</t>
  </si>
  <si>
    <t>Overhead: volume variance</t>
  </si>
  <si>
    <t>Total manufacturing variances</t>
  </si>
  <si>
    <t>Cash before revolver</t>
  </si>
  <si>
    <t>n/a</t>
  </si>
  <si>
    <t>Gross profit bridge, FY2024 to FY2025</t>
  </si>
  <si>
    <t>FY2024 gross profit</t>
  </si>
  <si>
    <t>Volume effect</t>
  </si>
  <si>
    <t>Price effect</t>
  </si>
  <si>
    <t>Standard cost effect</t>
  </si>
  <si>
    <t>Variance effect</t>
  </si>
  <si>
    <t>FY2025 gross profit</t>
  </si>
  <si>
    <t>Check: steps sum to the change in gross profit</t>
  </si>
  <si>
    <t>13 week cash forecast, Q1 FY2026</t>
  </si>
  <si>
    <t>Jan 9</t>
  </si>
  <si>
    <t>Jan 16</t>
  </si>
  <si>
    <t>Jan 23</t>
  </si>
  <si>
    <t>Jan 30</t>
  </si>
  <si>
    <t>Feb 6</t>
  </si>
  <si>
    <t>Feb 13</t>
  </si>
  <si>
    <t>Feb 20</t>
  </si>
  <si>
    <t>Feb 27</t>
  </si>
  <si>
    <t>Mar 6</t>
  </si>
  <si>
    <t>Mar 13</t>
  </si>
  <si>
    <t>Mar 20</t>
  </si>
  <si>
    <t>Mar 27</t>
  </si>
  <si>
    <t>Apr 3</t>
  </si>
  <si>
    <t>Receipts</t>
  </si>
  <si>
    <t>Suppliers</t>
  </si>
  <si>
    <t>Payroll</t>
  </si>
  <si>
    <t>Freight</t>
  </si>
  <si>
    <t>Rent</t>
  </si>
  <si>
    <t>Trade promotions</t>
  </si>
  <si>
    <t>Estimated tax</t>
  </si>
  <si>
    <t>Debt service (principal and interest)</t>
  </si>
  <si>
    <t>Total disbursements</t>
  </si>
  <si>
    <t>Net cash flow</t>
  </si>
  <si>
    <t>Revolver balance</t>
  </si>
  <si>
    <t>Availability</t>
  </si>
  <si>
    <t>Overall status</t>
  </si>
  <si>
    <t>Check</t>
  </si>
  <si>
    <t>Difference</t>
  </si>
  <si>
    <t>Status</t>
  </si>
  <si>
    <t>Balance sheet balances, FY2023</t>
  </si>
  <si>
    <t>Balance sheet balances, FY2024</t>
  </si>
  <si>
    <t>Balance sheet balances, FY2025</t>
  </si>
  <si>
    <t>Cash flow ending cash = balance sheet cash, FY2023</t>
  </si>
  <si>
    <t>Cash flow ending cash = balance sheet cash, FY2024</t>
  </si>
  <si>
    <t>Cash flow ending cash = balance sheet cash, FY2025</t>
  </si>
  <si>
    <t>Net income ties, income statement to cash flow, FY2023</t>
  </si>
  <si>
    <t>Net income ties, income statement to cash flow, FY2024</t>
  </si>
  <si>
    <t>Net income ties, income statement to cash flow, FY2025</t>
  </si>
  <si>
    <t>Beginning cash equals prior year ending cash, FY2023</t>
  </si>
  <si>
    <t>Beginning cash equals prior year ending cash, FY2024</t>
  </si>
  <si>
    <t>Beginning cash equals prior year ending cash, FY2025</t>
  </si>
  <si>
    <t>Retained earnings rolls forward, FY2023</t>
  </si>
  <si>
    <t>Retained earnings rolls forward, FY2024</t>
  </si>
  <si>
    <t>Retained earnings rolls forward, FY2025</t>
  </si>
  <si>
    <t>Total current assets equal their components, FY2023</t>
  </si>
  <si>
    <t>Total current assets equal their components, FY2024</t>
  </si>
  <si>
    <t>Total current assets equal their components, FY2025</t>
  </si>
  <si>
    <t>Total liabilities equal their components, FY2023</t>
  </si>
  <si>
    <t>Total liabilities equal their components, FY2024</t>
  </si>
  <si>
    <t>Total liabilities equal their components, FY2025</t>
  </si>
  <si>
    <t>Margin bridge steps sum to the change in gross profit</t>
  </si>
</sst>
</file>

<file path=xl/styles.xml><?xml version="1.0" encoding="utf-8"?>
<styleSheet xmlns="http://schemas.openxmlformats.org/spreadsheetml/2006/main">
  <numFmts count="7">
    <numFmt numFmtId="164" formatCode="#,##0"/>
    <numFmt numFmtId="165" formatCode="$0.00"/>
    <numFmt numFmtId="166" formatCode="#,##0_);(#,##0);&quot;-&quot;_)"/>
    <numFmt numFmtId="167" formatCode="0.0%"/>
    <numFmt numFmtId="168" formatCode="0.00%"/>
    <numFmt numFmtId="169" formatCode="0.0"/>
    <numFmt numFmtId="170" formatCode="0.0&quot;x&quot;"/>
  </numFmts>
  <fonts count="15">
    <font>
      <sz val="11"/>
      <color theme="1"/>
      <name val="Calibri"/>
      <family val="2"/>
      <scheme val="minor"/>
    </font>
    <font>
      <b/>
      <sz val="16"/>
      <color rgb="FF141413"/>
      <name val="Arial"/>
      <family val="2"/>
    </font>
    <font>
      <sz val="10"/>
      <color rgb="FF141413"/>
      <name val="Georgia"/>
      <family val="2"/>
    </font>
    <font>
      <b/>
      <sz val="12"/>
      <color rgb="FF141413"/>
      <name val="Arial"/>
      <family val="2"/>
    </font>
    <font>
      <u/>
      <sz val="11"/>
      <color rgb="FF6A9BCC"/>
      <name val="Georgia"/>
      <family val="2"/>
    </font>
    <font>
      <sz val="10"/>
      <color rgb="FF0000FF"/>
      <name val="Georgia"/>
      <family val="2"/>
    </font>
    <font>
      <sz val="10"/>
      <color rgb="FF008000"/>
      <name val="Georgia"/>
      <family val="2"/>
    </font>
    <font>
      <i/>
      <sz val="9"/>
      <color rgb="FF141413"/>
      <name val="Georgia"/>
      <family val="2"/>
    </font>
    <font>
      <b/>
      <sz val="11"/>
      <color rgb="FFFAF9F5"/>
      <name val="Arial"/>
      <family val="2"/>
    </font>
    <font>
      <sz val="10"/>
      <color rgb="FF141413"/>
      <name val="Georgia"/>
      <family val="2"/>
    </font>
    <font>
      <sz val="10"/>
      <color rgb="FF008000"/>
      <name val="Georgia"/>
      <family val="2"/>
    </font>
    <font>
      <b/>
      <sz val="10"/>
      <color rgb="FF141413"/>
      <name val="Georgia"/>
      <family val="2"/>
    </font>
    <font>
      <b/>
      <sz val="10"/>
      <color rgb="FF000000"/>
      <name val="Georgia"/>
      <family val="2"/>
    </font>
    <font>
      <sz val="10"/>
      <color rgb="FF000000"/>
      <name val="Georgia"/>
      <family val="2"/>
    </font>
    <font>
      <b/>
      <sz val="10"/>
      <color rgb="FF008000"/>
      <name val="Georgia"/>
      <family val="2"/>
    </font>
  </fonts>
  <fills count="3">
    <fill>
      <patternFill patternType="none"/>
    </fill>
    <fill>
      <patternFill patternType="gray125"/>
    </fill>
    <fill>
      <patternFill patternType="solid">
        <fgColor rgb="FF141413"/>
        <bgColor indexed="64"/>
      </patternFill>
    </fill>
  </fills>
  <borders count="3">
    <border>
      <left/>
      <right/>
      <top/>
      <bottom/>
      <diagonal/>
    </border>
    <border>
      <left style="thin">
        <color rgb="FFB0AEA5"/>
      </left>
      <right style="thin">
        <color rgb="FFB0AEA5"/>
      </right>
      <top style="thin">
        <color rgb="FFB0AEA5"/>
      </top>
      <bottom style="thin">
        <color rgb="FFB0AEA5"/>
      </bottom>
      <diagonal/>
    </border>
    <border>
      <left style="thin">
        <color rgb="FFB0AEA5"/>
      </left>
      <right style="thin">
        <color rgb="FFB0AEA5"/>
      </right>
      <top style="thin">
        <color rgb="FFB0AEA5"/>
      </top>
      <bottom style="double">
        <color rgb="FFB0AEA5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2" borderId="1" xfId="0" applyFont="1" applyFill="1" applyBorder="1" applyAlignment="1">
      <alignment horizontal="center" vertical="center" wrapText="1"/>
    </xf>
    <xf numFmtId="0" fontId="9" fillId="0" borderId="1" xfId="0" applyFont="1" applyBorder="1"/>
    <xf numFmtId="164" fontId="5" fillId="0" borderId="1" xfId="0" applyNumberFormat="1" applyFont="1" applyBorder="1"/>
    <xf numFmtId="165" fontId="5" fillId="0" borderId="1" xfId="0" applyNumberFormat="1" applyFont="1" applyBorder="1"/>
    <xf numFmtId="166" fontId="5" fillId="0" borderId="1" xfId="0" applyNumberFormat="1" applyFont="1" applyBorder="1"/>
    <xf numFmtId="167" fontId="5" fillId="0" borderId="1" xfId="0" applyNumberFormat="1" applyFont="1" applyBorder="1"/>
    <xf numFmtId="168" fontId="5" fillId="0" borderId="1" xfId="0" applyNumberFormat="1" applyFont="1" applyBorder="1"/>
    <xf numFmtId="169" fontId="5" fillId="0" borderId="1" xfId="0" applyNumberFormat="1" applyFont="1" applyBorder="1"/>
    <xf numFmtId="166" fontId="10" fillId="0" borderId="1" xfId="0" applyNumberFormat="1" applyFont="1" applyBorder="1"/>
    <xf numFmtId="0" fontId="11" fillId="0" borderId="1" xfId="0" applyFont="1" applyBorder="1"/>
    <xf numFmtId="166" fontId="12" fillId="0" borderId="1" xfId="0" applyNumberFormat="1" applyFont="1" applyBorder="1"/>
    <xf numFmtId="0" fontId="11" fillId="0" borderId="2" xfId="0" applyFont="1" applyBorder="1"/>
    <xf numFmtId="166" fontId="12" fillId="0" borderId="2" xfId="0" applyNumberFormat="1" applyFont="1" applyBorder="1"/>
    <xf numFmtId="0" fontId="9" fillId="0" borderId="1" xfId="0" applyFont="1" applyBorder="1" applyAlignment="1">
      <alignment horizontal="left" indent="1"/>
    </xf>
    <xf numFmtId="164" fontId="10" fillId="0" borderId="1" xfId="0" applyNumberFormat="1" applyFont="1" applyBorder="1" applyAlignment="1">
      <alignment horizontal="left" indent="1"/>
    </xf>
    <xf numFmtId="165" fontId="10" fillId="0" borderId="1" xfId="0" applyNumberFormat="1" applyFont="1" applyBorder="1" applyAlignment="1">
      <alignment horizontal="left" indent="1"/>
    </xf>
    <xf numFmtId="167" fontId="13" fillId="0" borderId="1" xfId="0" applyNumberFormat="1" applyFont="1" applyBorder="1" applyAlignment="1">
      <alignment horizontal="left" indent="1"/>
    </xf>
    <xf numFmtId="166" fontId="10" fillId="0" borderId="1" xfId="0" applyNumberFormat="1" applyFont="1" applyBorder="1" applyAlignment="1">
      <alignment horizontal="left" indent="1"/>
    </xf>
    <xf numFmtId="0" fontId="11" fillId="0" borderId="1" xfId="0" applyFont="1" applyBorder="1" applyAlignment="1">
      <alignment horizontal="left" indent="1"/>
    </xf>
    <xf numFmtId="166" fontId="12" fillId="0" borderId="1" xfId="0" applyNumberFormat="1" applyFont="1" applyBorder="1" applyAlignment="1">
      <alignment horizontal="left" indent="1"/>
    </xf>
    <xf numFmtId="167" fontId="10" fillId="0" borderId="1" xfId="0" applyNumberFormat="1" applyFont="1" applyBorder="1"/>
    <xf numFmtId="170" fontId="10" fillId="0" borderId="1" xfId="0" applyNumberFormat="1" applyFont="1" applyBorder="1"/>
    <xf numFmtId="169" fontId="10" fillId="0" borderId="1" xfId="0" applyNumberFormat="1" applyFont="1" applyBorder="1"/>
    <xf numFmtId="169" fontId="13" fillId="0" borderId="1" xfId="0" applyNumberFormat="1" applyFont="1" applyBorder="1"/>
    <xf numFmtId="166" fontId="13" fillId="0" borderId="1" xfId="0" applyNumberFormat="1" applyFont="1" applyBorder="1"/>
    <xf numFmtId="166" fontId="14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2:A29"/>
  <sheetViews>
    <sheetView showGridLines="0" tabSelected="1" workbookViewId="0"/>
  </sheetViews>
  <sheetFormatPr defaultRowHeight="15"/>
  <cols>
    <col min="1" max="1" width="46.7109375" customWidth="1"/>
    <col min="2" max="2" width="60.7109375" customWidth="1"/>
  </cols>
  <sheetData>
    <row r="2" spans="1:1">
      <c r="A2" s="1" t="s">
        <v>0</v>
      </c>
    </row>
    <row r="4" spans="1:1">
      <c r="A4" s="2" t="s">
        <v>1</v>
      </c>
    </row>
    <row r="6" spans="1:1">
      <c r="A6" s="2" t="s">
        <v>2</v>
      </c>
    </row>
    <row r="8" spans="1:1">
      <c r="A8" s="2" t="s">
        <v>3</v>
      </c>
    </row>
    <row r="9" spans="1:1">
      <c r="A9" s="2" t="s">
        <v>4</v>
      </c>
    </row>
    <row r="11" spans="1:1">
      <c r="A11" s="2" t="s">
        <v>5</v>
      </c>
    </row>
    <row r="12" spans="1:1">
      <c r="A12" s="2" t="s">
        <v>6</v>
      </c>
    </row>
    <row r="14" spans="1:1">
      <c r="A14" s="3" t="s">
        <v>7</v>
      </c>
    </row>
    <row r="15" spans="1:1">
      <c r="A15" s="4" t="s">
        <v>8</v>
      </c>
    </row>
    <row r="16" spans="1:1">
      <c r="A16" s="4" t="s">
        <v>9</v>
      </c>
    </row>
    <row r="17" spans="1:1">
      <c r="A17" s="4" t="s">
        <v>10</v>
      </c>
    </row>
    <row r="18" spans="1:1">
      <c r="A18" s="4" t="s">
        <v>11</v>
      </c>
    </row>
    <row r="19" spans="1:1">
      <c r="A19" s="4" t="s">
        <v>12</v>
      </c>
    </row>
    <row r="20" spans="1:1">
      <c r="A20" s="4" t="s">
        <v>13</v>
      </c>
    </row>
    <row r="21" spans="1:1">
      <c r="A21" s="4" t="s">
        <v>14</v>
      </c>
    </row>
    <row r="22" spans="1:1">
      <c r="A22" s="4" t="s">
        <v>15</v>
      </c>
    </row>
    <row r="23" spans="1:1">
      <c r="A23" s="4" t="s">
        <v>16</v>
      </c>
    </row>
    <row r="24" spans="1:1">
      <c r="A24" s="4" t="s">
        <v>17</v>
      </c>
    </row>
    <row r="26" spans="1:1">
      <c r="A26" s="3" t="s">
        <v>18</v>
      </c>
    </row>
    <row r="27" spans="1:1">
      <c r="A27" s="5" t="s">
        <v>19</v>
      </c>
    </row>
    <row r="28" spans="1:1">
      <c r="A28" s="2" t="s">
        <v>20</v>
      </c>
    </row>
    <row r="29" spans="1:1">
      <c r="A29" s="6" t="s">
        <v>21</v>
      </c>
    </row>
  </sheetData>
  <hyperlinks>
    <hyperlink ref="A15" location="'Cover'!A1" display="Cover"/>
    <hyperlink ref="A16" location="'Assumptions'!A1" display="Assumptions"/>
    <hyperlink ref="A17" location="'Income Statement'!A1" display="Income Statement"/>
    <hyperlink ref="A18" location="'Balance Sheet'!A1" display="Balance Sheet"/>
    <hyperlink ref="A19" location="'Cash Flow'!A1" display="Cash Flow"/>
    <hyperlink ref="A20" location="'Ratios'!A1" display="Ratios"/>
    <hyperlink ref="A21" location="'Variances'!A1" display="Variances"/>
    <hyperlink ref="A22" location="'Margin Bridge'!A1" display="Margin Bridge"/>
    <hyperlink ref="A23" location="'13 Week Cash'!A1" display="13 Week Cash"/>
    <hyperlink ref="A24" location="'Checks'!A1" display="Checks"/>
  </hyperlinks>
  <pageMargins left="0.7" right="0.7" top="0.75" bottom="0.75" header="0.3" footer="0.3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8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62.7109375" customWidth="1"/>
    <col min="2" max="4" width="13.7109375" customWidth="1"/>
  </cols>
  <sheetData>
    <row r="1" spans="1:4">
      <c r="A1" s="1" t="s">
        <v>0</v>
      </c>
    </row>
    <row r="2" spans="1:4">
      <c r="A2" s="3" t="s">
        <v>9</v>
      </c>
    </row>
    <row r="3" spans="1:4">
      <c r="A3" s="7" t="s">
        <v>22</v>
      </c>
    </row>
    <row r="5" spans="1:4">
      <c r="A5" s="8"/>
      <c r="B5" s="8" t="s">
        <v>23</v>
      </c>
      <c r="C5" s="8" t="s">
        <v>24</v>
      </c>
      <c r="D5" s="8" t="s">
        <v>25</v>
      </c>
    </row>
    <row r="6" spans="1:4">
      <c r="A6" s="9" t="s">
        <v>26</v>
      </c>
      <c r="B6" s="10">
        <v>4850</v>
      </c>
      <c r="C6" s="10">
        <v>5420</v>
      </c>
      <c r="D6" s="10">
        <v>5960</v>
      </c>
    </row>
    <row r="7" spans="1:4">
      <c r="A7" s="9" t="s">
        <v>27</v>
      </c>
      <c r="B7" s="11">
        <v>11.4</v>
      </c>
      <c r="C7" s="11">
        <v>11.85</v>
      </c>
      <c r="D7" s="11">
        <v>12.1</v>
      </c>
    </row>
    <row r="8" spans="1:4">
      <c r="A8" s="9" t="s">
        <v>28</v>
      </c>
      <c r="B8" s="11">
        <v>6.95</v>
      </c>
      <c r="C8" s="11">
        <v>7.3</v>
      </c>
      <c r="D8" s="11">
        <v>7.42</v>
      </c>
    </row>
    <row r="9" spans="1:4">
      <c r="A9" s="9" t="s">
        <v>29</v>
      </c>
      <c r="B9" s="12">
        <v>410</v>
      </c>
    </row>
    <row r="10" spans="1:4">
      <c r="A10" s="9" t="s">
        <v>30</v>
      </c>
      <c r="B10" s="12">
        <v>690</v>
      </c>
    </row>
    <row r="11" spans="1:4">
      <c r="A11" s="9" t="s">
        <v>31</v>
      </c>
      <c r="B11" s="13">
        <v>0.115</v>
      </c>
      <c r="C11" s="13">
        <v>0.118</v>
      </c>
      <c r="D11" s="13">
        <v>0.12</v>
      </c>
    </row>
    <row r="12" spans="1:4">
      <c r="A12" s="9" t="s">
        <v>32</v>
      </c>
      <c r="B12" s="13">
        <v>0.06</v>
      </c>
      <c r="C12" s="13">
        <v>0.065</v>
      </c>
      <c r="D12" s="13">
        <v>0.065</v>
      </c>
    </row>
    <row r="13" spans="1:4">
      <c r="A13" s="9" t="s">
        <v>33</v>
      </c>
      <c r="B13" s="13">
        <v>0.075</v>
      </c>
      <c r="C13" s="13">
        <v>0.07199999999999999</v>
      </c>
      <c r="D13" s="13">
        <v>0.07000000000000001</v>
      </c>
    </row>
    <row r="14" spans="1:4">
      <c r="A14" s="9" t="s">
        <v>34</v>
      </c>
      <c r="B14" s="14">
        <v>0.1</v>
      </c>
    </row>
    <row r="15" spans="1:4">
      <c r="A15" s="9" t="s">
        <v>35</v>
      </c>
      <c r="B15" s="12">
        <v>2600</v>
      </c>
      <c r="C15" s="12">
        <v>5800</v>
      </c>
      <c r="D15" s="12">
        <v>2200</v>
      </c>
    </row>
    <row r="16" spans="1:4">
      <c r="A16" s="9" t="s">
        <v>36</v>
      </c>
      <c r="B16" s="12">
        <v>9000</v>
      </c>
    </row>
    <row r="17" spans="1:2">
      <c r="A17" s="9" t="s">
        <v>37</v>
      </c>
      <c r="B17" s="12">
        <v>1500</v>
      </c>
    </row>
    <row r="18" spans="1:2">
      <c r="A18" s="9" t="s">
        <v>38</v>
      </c>
      <c r="B18" s="14">
        <v>0.0675</v>
      </c>
    </row>
    <row r="19" spans="1:2">
      <c r="A19" s="9" t="s">
        <v>39</v>
      </c>
      <c r="B19" s="12">
        <v>8000</v>
      </c>
    </row>
    <row r="20" spans="1:2">
      <c r="A20" s="9" t="s">
        <v>40</v>
      </c>
      <c r="B20" s="14">
        <v>0.075</v>
      </c>
    </row>
    <row r="21" spans="1:2">
      <c r="A21" s="9" t="s">
        <v>41</v>
      </c>
      <c r="B21" s="12">
        <v>1500</v>
      </c>
    </row>
    <row r="22" spans="1:2">
      <c r="A22" s="9" t="s">
        <v>42</v>
      </c>
      <c r="B22" s="14">
        <v>0.25</v>
      </c>
    </row>
    <row r="23" spans="1:2">
      <c r="A23" s="9" t="s">
        <v>43</v>
      </c>
      <c r="B23" s="15">
        <v>38</v>
      </c>
    </row>
    <row r="24" spans="1:2">
      <c r="A24" s="9" t="s">
        <v>44</v>
      </c>
      <c r="B24" s="15">
        <v>55</v>
      </c>
    </row>
    <row r="25" spans="1:2">
      <c r="A25" s="9" t="s">
        <v>45</v>
      </c>
      <c r="B25" s="13">
        <v>0.01</v>
      </c>
    </row>
    <row r="26" spans="1:2">
      <c r="A26" s="9" t="s">
        <v>46</v>
      </c>
      <c r="B26" s="15">
        <v>45</v>
      </c>
    </row>
    <row r="27" spans="1:2">
      <c r="A27" s="9" t="s">
        <v>47</v>
      </c>
      <c r="B27" s="13">
        <v>0.04</v>
      </c>
    </row>
    <row r="28" spans="1:2">
      <c r="A28" s="9" t="s">
        <v>48</v>
      </c>
      <c r="B28" s="12">
        <v>2400</v>
      </c>
    </row>
    <row r="29" spans="1:2">
      <c r="A29" s="9" t="s">
        <v>49</v>
      </c>
      <c r="B29" s="12">
        <v>5300</v>
      </c>
    </row>
    <row r="30" spans="1:2">
      <c r="A30" s="9" t="s">
        <v>50</v>
      </c>
      <c r="B30" s="12">
        <v>4900</v>
      </c>
    </row>
    <row r="31" spans="1:2">
      <c r="A31" s="9" t="s">
        <v>51</v>
      </c>
      <c r="B31" s="12">
        <v>500</v>
      </c>
    </row>
    <row r="32" spans="1:2">
      <c r="A32" s="9" t="s">
        <v>52</v>
      </c>
      <c r="B32" s="12">
        <v>14800</v>
      </c>
    </row>
    <row r="33" spans="1:2">
      <c r="A33" s="9" t="s">
        <v>53</v>
      </c>
      <c r="B33" s="12">
        <v>3700</v>
      </c>
    </row>
    <row r="34" spans="1:2">
      <c r="A34" s="9" t="s">
        <v>54</v>
      </c>
      <c r="B34" s="12">
        <v>1900</v>
      </c>
    </row>
    <row r="35" spans="1:2">
      <c r="A35" s="9" t="s">
        <v>55</v>
      </c>
      <c r="B35" s="12">
        <v>0</v>
      </c>
    </row>
    <row r="36" spans="1:2">
      <c r="A36" s="9" t="s">
        <v>56</v>
      </c>
      <c r="B36" s="12">
        <v>9000</v>
      </c>
    </row>
    <row r="37" spans="1:2">
      <c r="A37" s="9" t="s">
        <v>57</v>
      </c>
      <c r="B37" s="12">
        <v>6000</v>
      </c>
    </row>
    <row r="38" spans="1:2">
      <c r="A38" s="9" t="s">
        <v>58</v>
      </c>
      <c r="B38" s="12">
        <v>7300</v>
      </c>
    </row>
  </sheetData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3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62.7109375" customWidth="1"/>
    <col min="2" max="4" width="13.7109375" customWidth="1"/>
  </cols>
  <sheetData>
    <row r="1" spans="1:4">
      <c r="A1" s="1" t="s">
        <v>0</v>
      </c>
    </row>
    <row r="2" spans="1:4">
      <c r="A2" s="3" t="s">
        <v>10</v>
      </c>
    </row>
    <row r="3" spans="1:4">
      <c r="A3" s="7" t="s">
        <v>59</v>
      </c>
    </row>
    <row r="5" spans="1:4">
      <c r="A5" s="8"/>
      <c r="B5" s="8" t="s">
        <v>23</v>
      </c>
      <c r="C5" s="8" t="s">
        <v>24</v>
      </c>
      <c r="D5" s="8" t="s">
        <v>25</v>
      </c>
    </row>
    <row r="6" spans="1:4">
      <c r="A6" s="9" t="s">
        <v>60</v>
      </c>
      <c r="B6" s="16">
        <f>('Assumptions'!B6*'Assumptions'!B7)</f>
        <v>55290.0</v>
      </c>
      <c r="C6" s="16">
        <f>('Assumptions'!C6*'Assumptions'!C7)</f>
        <v>64227.0</v>
      </c>
      <c r="D6" s="16">
        <f>('Assumptions'!D6*'Assumptions'!D7)</f>
        <v>72116.0</v>
      </c>
    </row>
    <row r="7" spans="1:4">
      <c r="A7" s="9" t="s">
        <v>61</v>
      </c>
      <c r="B7" s="16">
        <f>('Assumptions'!B6*'Assumptions'!B8)</f>
        <v>33707.5</v>
      </c>
      <c r="C7" s="16">
        <f>('Assumptions'!C6*'Assumptions'!C8)</f>
        <v>39566.0</v>
      </c>
      <c r="D7" s="16">
        <f>('Assumptions'!D6*'Assumptions'!D8)</f>
        <v>44223.2</v>
      </c>
    </row>
    <row r="8" spans="1:4">
      <c r="A8" s="9" t="s">
        <v>62</v>
      </c>
      <c r="B8" s="16">
        <f>'Assumptions'!B9</f>
        <v>410.0</v>
      </c>
      <c r="C8" s="16">
        <f>'Assumptions'!B10</f>
        <v>690.0</v>
      </c>
      <c r="D8" s="16">
        <f>'Variances'!B18</f>
        <v>2283.520000000001</v>
      </c>
    </row>
    <row r="9" spans="1:4">
      <c r="A9" s="17" t="s">
        <v>63</v>
      </c>
      <c r="B9" s="18">
        <f>((B6-B7)-B8)</f>
        <v>21172.5</v>
      </c>
      <c r="C9" s="18">
        <f>((C6-C7)-C8)</f>
        <v>23971.0</v>
      </c>
      <c r="D9" s="18">
        <f>((D6-D7)-D8)</f>
        <v>25609.280000000002</v>
      </c>
    </row>
    <row r="10" spans="1:4">
      <c r="A10" s="9" t="s">
        <v>64</v>
      </c>
      <c r="B10" s="16">
        <f>(B6*'Assumptions'!B11)</f>
        <v>6358.35</v>
      </c>
      <c r="C10" s="16">
        <f>(C6*'Assumptions'!C11)</f>
        <v>7578.785999999999</v>
      </c>
      <c r="D10" s="16">
        <f>(D6*'Assumptions'!D11)</f>
        <v>8653.92</v>
      </c>
    </row>
    <row r="11" spans="1:4">
      <c r="A11" s="9" t="s">
        <v>65</v>
      </c>
      <c r="B11" s="16">
        <f>(B6*'Assumptions'!B12)</f>
        <v>3317.4</v>
      </c>
      <c r="C11" s="16">
        <f>(C6*'Assumptions'!C12)</f>
        <v>4174.755</v>
      </c>
      <c r="D11" s="16">
        <f>(D6*'Assumptions'!D12)</f>
        <v>4687.54</v>
      </c>
    </row>
    <row r="12" spans="1:4">
      <c r="A12" s="9" t="s">
        <v>66</v>
      </c>
      <c r="B12" s="16">
        <f>(B6*'Assumptions'!B13)</f>
        <v>4146.75</v>
      </c>
      <c r="C12" s="16">
        <f>(C6*'Assumptions'!C13)</f>
        <v>4624.344</v>
      </c>
      <c r="D12" s="16">
        <f>(D6*'Assumptions'!D13)</f>
        <v>5048.120000000001</v>
      </c>
    </row>
    <row r="13" spans="1:4">
      <c r="A13" s="17" t="s">
        <v>67</v>
      </c>
      <c r="B13" s="18">
        <f>(((B9-B10)-B11)-B12)</f>
        <v>7350.0</v>
      </c>
      <c r="C13" s="18">
        <f>(((C9-C10)-C11)-C12)</f>
        <v>7593.114999999999</v>
      </c>
      <c r="D13" s="18">
        <f>(((D9-D10)-D11)-D12)</f>
        <v>7219.699999999999</v>
      </c>
    </row>
    <row r="14" spans="1:4">
      <c r="A14" s="9" t="s">
        <v>68</v>
      </c>
      <c r="B14" s="16">
        <f>('Assumptions'!B32*'Assumptions'!B14)</f>
        <v>1480.0</v>
      </c>
      <c r="C14" s="16">
        <f>('Balance Sheet'!B12*'Assumptions'!B14)</f>
        <v>1592.0</v>
      </c>
      <c r="D14" s="16">
        <f>('Balance Sheet'!C12*'Assumptions'!B14)</f>
        <v>2012.8000000000002</v>
      </c>
    </row>
    <row r="15" spans="1:4">
      <c r="A15" s="17" t="s">
        <v>69</v>
      </c>
      <c r="B15" s="18">
        <f>(B13-B14)</f>
        <v>5870.0</v>
      </c>
      <c r="C15" s="18">
        <f>(C13-C14)</f>
        <v>6001.114999999999</v>
      </c>
      <c r="D15" s="18">
        <f>(D13-D14)</f>
        <v>5206.899999999999</v>
      </c>
    </row>
    <row r="16" spans="1:4">
      <c r="A16" s="9" t="s">
        <v>70</v>
      </c>
      <c r="B16" s="16">
        <f>(('Assumptions'!B36*'Assumptions'!B18)+('Assumptions'!B35*'Assumptions'!B20))</f>
        <v>607.5</v>
      </c>
      <c r="C16" s="16">
        <f>(('Balance Sheet'!B19*'Assumptions'!B18)+('Balance Sheet'!B18*'Assumptions'!B20))</f>
        <v>506.25000000000006</v>
      </c>
      <c r="D16" s="16">
        <f>(('Balance Sheet'!C19*'Assumptions'!B18)+('Balance Sheet'!C18*'Assumptions'!B20))</f>
        <v>414.20377011986295</v>
      </c>
    </row>
    <row r="17" spans="1:4">
      <c r="A17" s="17" t="s">
        <v>71</v>
      </c>
      <c r="B17" s="18">
        <f>(B15-B16)</f>
        <v>5262.5</v>
      </c>
      <c r="C17" s="18">
        <f>(C15-C16)</f>
        <v>5494.864999999999</v>
      </c>
      <c r="D17" s="18">
        <f>(D15-D16)</f>
        <v>4792.696229880135</v>
      </c>
    </row>
    <row r="18" spans="1:4">
      <c r="A18" s="9" t="s">
        <v>72</v>
      </c>
      <c r="B18" s="16">
        <f>MAX(0,(B17*'Assumptions'!B22))</f>
        <v>1315.625</v>
      </c>
      <c r="C18" s="16">
        <f>MAX(0,(C17*'Assumptions'!B22))</f>
        <v>1373.7162499999997</v>
      </c>
      <c r="D18" s="16">
        <f>MAX(0,(D17*'Assumptions'!B22))</f>
        <v>1198.1740574700339</v>
      </c>
    </row>
    <row r="19" spans="1:4">
      <c r="A19" s="19" t="s">
        <v>73</v>
      </c>
      <c r="B19" s="20">
        <f>(B17-B18)</f>
        <v>3946.875</v>
      </c>
      <c r="C19" s="20">
        <f>(C17-C18)</f>
        <v>4121.148749999999</v>
      </c>
      <c r="D19" s="20">
        <f>(D17-D18)</f>
        <v>3594.5221724101016</v>
      </c>
    </row>
    <row r="20" spans="1:4">
      <c r="A20" s="21" t="s">
        <v>26</v>
      </c>
      <c r="B20" s="22">
        <f>'Assumptions'!B6</f>
        <v>4850.0</v>
      </c>
      <c r="C20" s="22">
        <f>'Assumptions'!C6</f>
        <v>5420.0</v>
      </c>
      <c r="D20" s="22">
        <f>'Assumptions'!D6</f>
        <v>5960.0</v>
      </c>
    </row>
    <row r="21" spans="1:4">
      <c r="A21" s="21" t="s">
        <v>27</v>
      </c>
      <c r="B21" s="23">
        <f>'Assumptions'!B7</f>
        <v>11.4</v>
      </c>
      <c r="C21" s="23">
        <f>'Assumptions'!C7</f>
        <v>11.85</v>
      </c>
      <c r="D21" s="23">
        <f>'Assumptions'!D7</f>
        <v>12.1</v>
      </c>
    </row>
    <row r="22" spans="1:4">
      <c r="A22" s="21" t="s">
        <v>28</v>
      </c>
      <c r="B22" s="23">
        <f>'Assumptions'!B8</f>
        <v>6.95</v>
      </c>
      <c r="C22" s="23">
        <f>'Assumptions'!C8</f>
        <v>7.3</v>
      </c>
      <c r="D22" s="23">
        <f>'Assumptions'!D8</f>
        <v>7.42</v>
      </c>
    </row>
    <row r="23" spans="1:4">
      <c r="A23" s="21" t="s">
        <v>74</v>
      </c>
      <c r="B23" s="24">
        <f>(B9/B6)</f>
        <v>0.38293543136190994</v>
      </c>
      <c r="C23" s="24">
        <f>(C9/C6)</f>
        <v>0.3732230993196008</v>
      </c>
      <c r="D23" s="24">
        <f>(D9/D6)</f>
        <v>0.3551123190415442</v>
      </c>
    </row>
  </sheetData>
  <pageMargins left="0.7" right="0.7" top="0.75" bottom="0.75" header="0.3" footer="0.3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5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62.7109375" customWidth="1"/>
    <col min="2" max="4" width="13.7109375" customWidth="1"/>
  </cols>
  <sheetData>
    <row r="1" spans="1:4">
      <c r="A1" s="1" t="s">
        <v>0</v>
      </c>
    </row>
    <row r="2" spans="1:4">
      <c r="A2" s="3" t="s">
        <v>11</v>
      </c>
    </row>
    <row r="3" spans="1:4">
      <c r="A3" s="7" t="s">
        <v>75</v>
      </c>
    </row>
    <row r="5" spans="1:4">
      <c r="A5" s="8"/>
      <c r="B5" s="8" t="s">
        <v>23</v>
      </c>
      <c r="C5" s="8" t="s">
        <v>24</v>
      </c>
      <c r="D5" s="8" t="s">
        <v>25</v>
      </c>
    </row>
    <row r="6" spans="1:4">
      <c r="A6" s="17" t="s">
        <v>76</v>
      </c>
      <c r="B6" s="9"/>
      <c r="C6" s="9"/>
      <c r="D6" s="9"/>
    </row>
    <row r="7" spans="1:4">
      <c r="A7" s="21" t="s">
        <v>77</v>
      </c>
      <c r="B7" s="25">
        <f>'Cash Flow'!B21</f>
        <v>3794.629794520548</v>
      </c>
      <c r="C7" s="25">
        <f>'Cash Flow'!C21</f>
        <v>1500.0</v>
      </c>
      <c r="D7" s="25">
        <f>'Cash Flow'!D21</f>
        <v>2528.7020867936644</v>
      </c>
    </row>
    <row r="8" spans="1:4">
      <c r="A8" s="21" t="s">
        <v>78</v>
      </c>
      <c r="B8" s="25">
        <f>(('Income Statement'!B6*'Assumptions'!B23)/365)</f>
        <v>5756.219178082192</v>
      </c>
      <c r="C8" s="25">
        <f>(('Income Statement'!C6*'Assumptions'!B23)/365)</f>
        <v>6686.646575342465</v>
      </c>
      <c r="D8" s="25">
        <f>(('Income Statement'!D6*'Assumptions'!B23)/365)</f>
        <v>7507.967123287671</v>
      </c>
    </row>
    <row r="9" spans="1:4">
      <c r="A9" s="21" t="s">
        <v>79</v>
      </c>
      <c r="B9" s="25">
        <f>((('Income Statement'!B7+'Income Statement'!B8)*'Assumptions'!B24)/365)</f>
        <v>5140.993150684932</v>
      </c>
      <c r="C9" s="25">
        <f>((('Income Statement'!C7+'Income Statement'!C8)*'Assumptions'!B24)/365)</f>
        <v>6065.972602739726</v>
      </c>
      <c r="D9" s="25">
        <f>((('Income Statement'!D7+'Income Statement'!D8)*'Assumptions'!B24)/365)</f>
        <v>7007.861917808219</v>
      </c>
    </row>
    <row r="10" spans="1:4">
      <c r="A10" s="21" t="s">
        <v>80</v>
      </c>
      <c r="B10" s="25">
        <f>('Income Statement'!B6*'Assumptions'!B25)</f>
        <v>552.9</v>
      </c>
      <c r="C10" s="25">
        <f>('Income Statement'!C6*'Assumptions'!B25)</f>
        <v>642.27</v>
      </c>
      <c r="D10" s="25">
        <f>('Income Statement'!D6*'Assumptions'!B25)</f>
        <v>721.16</v>
      </c>
    </row>
    <row r="11" spans="1:4">
      <c r="A11" s="26" t="s">
        <v>81</v>
      </c>
      <c r="B11" s="27">
        <f>(B7+B8+B9+B10)</f>
        <v>15244.742123287671</v>
      </c>
      <c r="C11" s="27">
        <f>(C7+C8+C9+C10)</f>
        <v>14894.889178082192</v>
      </c>
      <c r="D11" s="27">
        <f>(D7+D8+D9+D10)</f>
        <v>17765.691127889553</v>
      </c>
    </row>
    <row r="12" spans="1:4">
      <c r="A12" s="21" t="s">
        <v>82</v>
      </c>
      <c r="B12" s="25">
        <f>(('Assumptions'!B32+'Assumptions'!B15)-'Income Statement'!B14)</f>
        <v>15920.0</v>
      </c>
      <c r="C12" s="25">
        <f>(('Balance Sheet'!B12+'Assumptions'!C15)-'Income Statement'!C14)</f>
        <v>20128.0</v>
      </c>
      <c r="D12" s="25">
        <f>(('Balance Sheet'!C12+'Assumptions'!D15)-'Income Statement'!D14)</f>
        <v>20315.2</v>
      </c>
    </row>
    <row r="13" spans="1:4">
      <c r="A13" s="19" t="s">
        <v>83</v>
      </c>
      <c r="B13" s="20">
        <f>(B11+B12)</f>
        <v>31164.742123287673</v>
      </c>
      <c r="C13" s="20">
        <f>(C11+C12)</f>
        <v>35022.889178082194</v>
      </c>
      <c r="D13" s="20">
        <f>(D11+D12)</f>
        <v>38080.891127889554</v>
      </c>
    </row>
    <row r="14" spans="1:4">
      <c r="A14" s="17" t="s">
        <v>84</v>
      </c>
      <c r="B14" s="9"/>
      <c r="C14" s="9"/>
      <c r="D14" s="9"/>
    </row>
    <row r="15" spans="1:4">
      <c r="A15" s="21" t="s">
        <v>85</v>
      </c>
      <c r="B15" s="25">
        <f>((('Income Statement'!B7+'Income Statement'!B8)*'Assumptions'!B26)/365)</f>
        <v>4206.267123287671</v>
      </c>
      <c r="C15" s="25">
        <f>((('Income Statement'!C7+'Income Statement'!C8)*'Assumptions'!B26)/365)</f>
        <v>4963.068493150685</v>
      </c>
      <c r="D15" s="25">
        <f>((('Income Statement'!D7+'Income Statement'!D8)*'Assumptions'!B26)/365)</f>
        <v>5733.705205479452</v>
      </c>
    </row>
    <row r="16" spans="1:4">
      <c r="A16" s="21" t="s">
        <v>86</v>
      </c>
      <c r="B16" s="25">
        <f>('Income Statement'!B6*'Assumptions'!B27)</f>
        <v>2211.6</v>
      </c>
      <c r="C16" s="25">
        <f>('Income Statement'!C6*'Assumptions'!B27)</f>
        <v>2569.08</v>
      </c>
      <c r="D16" s="25">
        <f>('Income Statement'!D6*'Assumptions'!B27)</f>
        <v>2884.64</v>
      </c>
    </row>
    <row r="17" spans="1:4">
      <c r="A17" s="26" t="s">
        <v>87</v>
      </c>
      <c r="B17" s="27">
        <f>(B15+B16)</f>
        <v>6417.867123287671</v>
      </c>
      <c r="C17" s="27">
        <f>(C15+C16)</f>
        <v>7532.148493150685</v>
      </c>
      <c r="D17" s="27">
        <f>(D15+D16)</f>
        <v>8618.345205479452</v>
      </c>
    </row>
    <row r="18" spans="1:4">
      <c r="A18" s="21" t="s">
        <v>88</v>
      </c>
      <c r="B18" s="25">
        <f>(('Assumptions'!B35+MAX(0,MIN(('Assumptions'!B21-((('Assumptions'!B28+'Cash Flow'!B13)+'Cash Flow'!B15)+'Cash Flow'!B16)),('Assumptions'!B19-'Assumptions'!B35))))-MAX(0,MIN('Assumptions'!B35,(((('Assumptions'!B28+'Cash Flow'!B13)+'Cash Flow'!B15)+'Cash Flow'!B16)-'Assumptions'!B21))))</f>
        <v>0.0</v>
      </c>
      <c r="C18" s="25">
        <f>(('Balance Sheet'!B18+MAX(0,MIN(('Assumptions'!B21-((('Balance Sheet'!B7+'Cash Flow'!C13)+'Cash Flow'!C15)+'Cash Flow'!C16)),('Assumptions'!B19-'Balance Sheet'!B18))))-MAX(0,MIN('Balance Sheet'!B18,(((('Balance Sheet'!B7+'Cash Flow'!C13)+'Cash Flow'!C15)+'Cash Flow'!C16)-'Assumptions'!B21))))</f>
        <v>122.71693493150633</v>
      </c>
      <c r="D18" s="25">
        <f>(('Balance Sheet'!C18+MAX(0,MIN(('Assumptions'!B21-((('Balance Sheet'!C7+'Cash Flow'!D13)+'Cash Flow'!D15)+'Cash Flow'!D16)),('Assumptions'!B19-'Balance Sheet'!C18))))-MAX(0,MIN('Balance Sheet'!C18,(((('Balance Sheet'!C7+'Cash Flow'!D13)+'Cash Flow'!D15)+'Cash Flow'!D16)-'Assumptions'!B21))))</f>
        <v>0.0</v>
      </c>
    </row>
    <row r="19" spans="1:4">
      <c r="A19" s="21" t="s">
        <v>89</v>
      </c>
      <c r="B19" s="25">
        <f>('Assumptions'!B36-'Assumptions'!B17)</f>
        <v>7500.0</v>
      </c>
      <c r="C19" s="25">
        <f>('Balance Sheet'!B19-'Assumptions'!B17)</f>
        <v>6000.0</v>
      </c>
      <c r="D19" s="25">
        <f>('Balance Sheet'!C19-'Assumptions'!B17)</f>
        <v>4500.0</v>
      </c>
    </row>
    <row r="20" spans="1:4">
      <c r="A20" s="17" t="s">
        <v>90</v>
      </c>
      <c r="B20" s="18">
        <f>((B17+B18)+B19)</f>
        <v>13917.867123287671</v>
      </c>
      <c r="C20" s="18">
        <f>((C17+C18)+C19)</f>
        <v>13654.86542808219</v>
      </c>
      <c r="D20" s="18">
        <f>((D17+D18)+D19)</f>
        <v>13118.345205479452</v>
      </c>
    </row>
    <row r="21" spans="1:4">
      <c r="A21" s="17" t="s">
        <v>91</v>
      </c>
      <c r="B21" s="9"/>
      <c r="C21" s="9"/>
      <c r="D21" s="9"/>
    </row>
    <row r="22" spans="1:4">
      <c r="A22" s="21" t="s">
        <v>92</v>
      </c>
      <c r="B22" s="25">
        <f>'Assumptions'!B37</f>
        <v>6000.0</v>
      </c>
      <c r="C22" s="25">
        <f>'Assumptions'!B37</f>
        <v>6000.0</v>
      </c>
      <c r="D22" s="25">
        <f>'Assumptions'!B37</f>
        <v>6000.0</v>
      </c>
    </row>
    <row r="23" spans="1:4">
      <c r="A23" s="21" t="s">
        <v>93</v>
      </c>
      <c r="B23" s="25">
        <f>('Assumptions'!B38+'Income Statement'!B19)</f>
        <v>11246.875</v>
      </c>
      <c r="C23" s="25">
        <f>(B23+'Income Statement'!C19)</f>
        <v>15368.02375</v>
      </c>
      <c r="D23" s="25">
        <f>(C23+'Income Statement'!D19)</f>
        <v>18962.545922410103</v>
      </c>
    </row>
    <row r="24" spans="1:4">
      <c r="A24" s="17" t="s">
        <v>94</v>
      </c>
      <c r="B24" s="18">
        <f>(B22+B23)</f>
        <v>17246.875</v>
      </c>
      <c r="C24" s="18">
        <f>(C22+C23)</f>
        <v>21368.02375</v>
      </c>
      <c r="D24" s="18">
        <f>(D22+D23)</f>
        <v>24962.545922410103</v>
      </c>
    </row>
    <row r="25" spans="1:4">
      <c r="A25" s="19" t="s">
        <v>95</v>
      </c>
      <c r="B25" s="20">
        <f>(B20+B24)</f>
        <v>31164.742123287673</v>
      </c>
      <c r="C25" s="20">
        <f>(C20+C24)</f>
        <v>35022.88917808219</v>
      </c>
      <c r="D25" s="20">
        <f>(D20+D24)</f>
        <v>38080.891127889554</v>
      </c>
    </row>
  </sheetData>
  <pageMargins left="0.7" right="0.7" top="0.75" bottom="0.75" header="0.3" footer="0.3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5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62.7109375" customWidth="1"/>
    <col min="2" max="4" width="13.7109375" customWidth="1"/>
  </cols>
  <sheetData>
    <row r="1" spans="1:4">
      <c r="A1" s="1" t="s">
        <v>0</v>
      </c>
    </row>
    <row r="2" spans="1:4">
      <c r="A2" s="3" t="s">
        <v>96</v>
      </c>
    </row>
    <row r="3" spans="1:4">
      <c r="A3" s="7" t="s">
        <v>59</v>
      </c>
    </row>
    <row r="5" spans="1:4">
      <c r="A5" s="8"/>
      <c r="B5" s="8" t="s">
        <v>23</v>
      </c>
      <c r="C5" s="8" t="s">
        <v>24</v>
      </c>
      <c r="D5" s="8" t="s">
        <v>25</v>
      </c>
    </row>
    <row r="6" spans="1:4">
      <c r="A6" s="9" t="s">
        <v>73</v>
      </c>
      <c r="B6" s="16">
        <f>'Income Statement'!B19</f>
        <v>3946.875</v>
      </c>
      <c r="C6" s="16">
        <f>'Income Statement'!C19</f>
        <v>4121.148749999999</v>
      </c>
      <c r="D6" s="16">
        <f>'Income Statement'!D19</f>
        <v>3594.5221724101016</v>
      </c>
    </row>
    <row r="7" spans="1:4">
      <c r="A7" s="9" t="s">
        <v>68</v>
      </c>
      <c r="B7" s="16">
        <f>'Income Statement'!B14</f>
        <v>1480.0</v>
      </c>
      <c r="C7" s="16">
        <f>'Income Statement'!C14</f>
        <v>1592.0</v>
      </c>
      <c r="D7" s="16">
        <f>'Income Statement'!D14</f>
        <v>2012.8000000000002</v>
      </c>
    </row>
    <row r="8" spans="1:4">
      <c r="A8" s="9" t="s">
        <v>97</v>
      </c>
      <c r="B8" s="16">
        <f>(-('Balance Sheet'!B8-'Assumptions'!B29))</f>
        <v>-456.21917808219223</v>
      </c>
      <c r="C8" s="16">
        <f>(-('Balance Sheet'!C8-'Balance Sheet'!B8))</f>
        <v>-930.4273972602732</v>
      </c>
      <c r="D8" s="16">
        <f>(-('Balance Sheet'!D8-'Balance Sheet'!C8))</f>
        <v>-821.3205479452054</v>
      </c>
    </row>
    <row r="9" spans="1:4">
      <c r="A9" s="9" t="s">
        <v>98</v>
      </c>
      <c r="B9" s="16">
        <f>(-('Balance Sheet'!B9-'Assumptions'!B30))</f>
        <v>-240.9931506849316</v>
      </c>
      <c r="C9" s="16">
        <f>(-('Balance Sheet'!C9-'Balance Sheet'!B9))</f>
        <v>-924.9794520547948</v>
      </c>
      <c r="D9" s="16">
        <f>(-('Balance Sheet'!D9-'Balance Sheet'!C9))</f>
        <v>-941.8893150684926</v>
      </c>
    </row>
    <row r="10" spans="1:4">
      <c r="A10" s="9" t="s">
        <v>99</v>
      </c>
      <c r="B10" s="16">
        <f>(-('Balance Sheet'!B10-'Assumptions'!B31))</f>
        <v>-52.89999999999998</v>
      </c>
      <c r="C10" s="16">
        <f>(-('Balance Sheet'!C10-'Balance Sheet'!B10))</f>
        <v>-89.37</v>
      </c>
      <c r="D10" s="16">
        <f>(-('Balance Sheet'!D10-'Balance Sheet'!C10))</f>
        <v>-78.88999999999999</v>
      </c>
    </row>
    <row r="11" spans="1:4">
      <c r="A11" s="9" t="s">
        <v>100</v>
      </c>
      <c r="B11" s="16">
        <f>('Balance Sheet'!B15-'Assumptions'!B33)</f>
        <v>506.267123287671</v>
      </c>
      <c r="C11" s="16">
        <f>('Balance Sheet'!C15-'Balance Sheet'!B15)</f>
        <v>756.8013698630139</v>
      </c>
      <c r="D11" s="16">
        <f>('Balance Sheet'!D15-'Balance Sheet'!C15)</f>
        <v>770.6367123287673</v>
      </c>
    </row>
    <row r="12" spans="1:4">
      <c r="A12" s="9" t="s">
        <v>101</v>
      </c>
      <c r="B12" s="16">
        <f>('Balance Sheet'!B16-'Assumptions'!B34)</f>
        <v>311.5999999999999</v>
      </c>
      <c r="C12" s="16">
        <f>('Balance Sheet'!C16-'Balance Sheet'!B16)</f>
        <v>357.48</v>
      </c>
      <c r="D12" s="16">
        <f>('Balance Sheet'!D16-'Balance Sheet'!C16)</f>
        <v>315.55999999999995</v>
      </c>
    </row>
    <row r="13" spans="1:4">
      <c r="A13" s="17" t="s">
        <v>102</v>
      </c>
      <c r="B13" s="18">
        <f>(B6+B7+B8+B9+B10+B11+B12)</f>
        <v>5494.629794520548</v>
      </c>
      <c r="C13" s="18">
        <f>(C6+C7+C8+C9+C10+C11+C12)</f>
        <v>4882.653270547946</v>
      </c>
      <c r="D13" s="18">
        <f>(D6+D7+D8+D9+D10+D11+D12)</f>
        <v>4851.419021725171</v>
      </c>
    </row>
    <row r="14" spans="1:4">
      <c r="A14" s="9" t="s">
        <v>35</v>
      </c>
      <c r="B14" s="16">
        <f>(-'Assumptions'!B15)</f>
        <v>-2600.0</v>
      </c>
      <c r="C14" s="16">
        <f>(-'Assumptions'!C15)</f>
        <v>-5800.0</v>
      </c>
      <c r="D14" s="16">
        <f>(-'Assumptions'!D15)</f>
        <v>-2200.0</v>
      </c>
    </row>
    <row r="15" spans="1:4">
      <c r="A15" s="17" t="s">
        <v>103</v>
      </c>
      <c r="B15" s="18">
        <f>B14</f>
        <v>-2600.0</v>
      </c>
      <c r="C15" s="18">
        <f>C14</f>
        <v>-5800.0</v>
      </c>
      <c r="D15" s="18">
        <f>D14</f>
        <v>-2200.0</v>
      </c>
    </row>
    <row r="16" spans="1:4">
      <c r="A16" s="9" t="s">
        <v>104</v>
      </c>
      <c r="B16" s="16">
        <f>(-'Assumptions'!B17)</f>
        <v>-1500.0</v>
      </c>
      <c r="C16" s="16">
        <f>(-'Assumptions'!B17)</f>
        <v>-1500.0</v>
      </c>
      <c r="D16" s="16">
        <f>(-'Assumptions'!B17)</f>
        <v>-1500.0</v>
      </c>
    </row>
    <row r="17" spans="1:4">
      <c r="A17" s="9" t="s">
        <v>105</v>
      </c>
      <c r="B17" s="16">
        <f>(MAX(0,MIN(('Assumptions'!B21-((('Assumptions'!B28+B13)+B15)+B16)),('Assumptions'!B19-'Assumptions'!B35)))-MAX(0,MIN('Assumptions'!B35,(((('Assumptions'!B28+B13)+B15)+B16)-'Assumptions'!B21))))</f>
        <v>0.0</v>
      </c>
      <c r="C17" s="16">
        <f>(MAX(0,MIN(('Assumptions'!B21-((('Balance Sheet'!B7+C13)+C15)+C16)),('Assumptions'!B19-'Balance Sheet'!B18)))-MAX(0,MIN('Balance Sheet'!B18,(((('Balance Sheet'!B7+C13)+C15)+C16)-'Assumptions'!B21))))</f>
        <v>122.71693493150633</v>
      </c>
      <c r="D17" s="16">
        <f>(MAX(0,MIN(('Assumptions'!B21-((('Balance Sheet'!C7+D13)+D15)+D16)),('Assumptions'!B19-'Balance Sheet'!C18)))-MAX(0,MIN('Balance Sheet'!C18,(((('Balance Sheet'!C7+D13)+D15)+D16)-'Assumptions'!B21))))</f>
        <v>-122.71693493150633</v>
      </c>
    </row>
    <row r="18" spans="1:4">
      <c r="A18" s="17" t="s">
        <v>106</v>
      </c>
      <c r="B18" s="18">
        <f>(B16+B17)</f>
        <v>-1500.0</v>
      </c>
      <c r="C18" s="18">
        <f>(C16+C17)</f>
        <v>-1377.2830650684937</v>
      </c>
      <c r="D18" s="18">
        <f>(D16+D17)</f>
        <v>-1622.7169349315063</v>
      </c>
    </row>
    <row r="19" spans="1:4">
      <c r="A19" s="17" t="s">
        <v>107</v>
      </c>
      <c r="B19" s="18">
        <f>((B13+B15)+B18)</f>
        <v>1394.6297945205479</v>
      </c>
      <c r="C19" s="18">
        <f>((C13+C15)+C18)</f>
        <v>-2294.629794520548</v>
      </c>
      <c r="D19" s="18">
        <f>((D13+D15)+D18)</f>
        <v>1028.7020867936644</v>
      </c>
    </row>
    <row r="20" spans="1:4">
      <c r="A20" s="9" t="s">
        <v>108</v>
      </c>
      <c r="B20" s="16">
        <f>'Assumptions'!B28</f>
        <v>2400.0</v>
      </c>
      <c r="C20" s="16">
        <f>'Balance Sheet'!B7</f>
        <v>3794.629794520548</v>
      </c>
      <c r="D20" s="16">
        <f>'Balance Sheet'!C7</f>
        <v>1500.0</v>
      </c>
    </row>
    <row r="21" spans="1:4">
      <c r="A21" s="19" t="s">
        <v>109</v>
      </c>
      <c r="B21" s="20">
        <f>(B20+B19)</f>
        <v>3794.629794520548</v>
      </c>
      <c r="C21" s="20">
        <f>(C20+C19)</f>
        <v>1500.0</v>
      </c>
      <c r="D21" s="20">
        <f>(D20+D19)</f>
        <v>2528.7020867936644</v>
      </c>
    </row>
    <row r="24" spans="1:4">
      <c r="A24" s="8"/>
      <c r="B24" s="8" t="s">
        <v>23</v>
      </c>
      <c r="C24" s="8" t="s">
        <v>24</v>
      </c>
      <c r="D24" s="8" t="s">
        <v>25</v>
      </c>
    </row>
    <row r="25" spans="1:4">
      <c r="A25" s="9" t="s">
        <v>141</v>
      </c>
      <c r="B25" s="16">
        <f>((('Assumptions'!B28+B13)+B15)+B16)</f>
        <v>3794.629794520548</v>
      </c>
      <c r="C25" s="16">
        <f>((('Balance Sheet'!B7+C13)+C15)+C16)</f>
        <v>1377.2830650684937</v>
      </c>
      <c r="D25" s="16">
        <f>((('Balance Sheet'!C7+D13)+D15)+D16)</f>
        <v>2651.4190217251708</v>
      </c>
    </row>
  </sheetData>
  <pageMargins left="0.7" right="0.7" top="0.75" bottom="0.75" header="0.3" footer="0.3"/>
  <pageSetup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9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62.7109375" customWidth="1"/>
    <col min="2" max="4" width="13.7109375" customWidth="1"/>
  </cols>
  <sheetData>
    <row r="1" spans="1:4">
      <c r="A1" s="1" t="s">
        <v>0</v>
      </c>
    </row>
    <row r="2" spans="1:4">
      <c r="A2" s="3" t="s">
        <v>13</v>
      </c>
    </row>
    <row r="3" spans="1:4">
      <c r="A3" s="7" t="s">
        <v>22</v>
      </c>
    </row>
    <row r="5" spans="1:4">
      <c r="A5" s="8"/>
      <c r="B5" s="8" t="s">
        <v>23</v>
      </c>
      <c r="C5" s="8" t="s">
        <v>24</v>
      </c>
      <c r="D5" s="8" t="s">
        <v>25</v>
      </c>
    </row>
    <row r="6" spans="1:4">
      <c r="A6" s="9" t="s">
        <v>74</v>
      </c>
      <c r="B6" s="28">
        <f>('Income Statement'!B9/'Income Statement'!B6)</f>
        <v>0.38293543136190994</v>
      </c>
      <c r="C6" s="28">
        <f>('Income Statement'!C9/'Income Statement'!C6)</f>
        <v>0.3732230993196008</v>
      </c>
      <c r="D6" s="28">
        <f>('Income Statement'!D9/'Income Statement'!D6)</f>
        <v>0.3551123190415442</v>
      </c>
    </row>
    <row r="7" spans="1:4">
      <c r="A7" s="9" t="s">
        <v>110</v>
      </c>
      <c r="B7" s="28">
        <f>('Income Statement'!B13/'Income Statement'!B6)</f>
        <v>0.13293543136190994</v>
      </c>
      <c r="C7" s="28">
        <f>('Income Statement'!C13/'Income Statement'!C6)</f>
        <v>0.11822309931960077</v>
      </c>
      <c r="D7" s="28">
        <f>('Income Statement'!D13/'Income Statement'!D6)</f>
        <v>0.10011231904154416</v>
      </c>
    </row>
    <row r="8" spans="1:4">
      <c r="A8" s="9" t="s">
        <v>111</v>
      </c>
      <c r="B8" s="28">
        <f>('Income Statement'!B15/'Income Statement'!B6)</f>
        <v>0.10616748055706277</v>
      </c>
      <c r="C8" s="28">
        <f>('Income Statement'!C15/'Income Statement'!C6)</f>
        <v>0.09343601600572966</v>
      </c>
      <c r="D8" s="28">
        <f>('Income Statement'!D15/'Income Statement'!D6)</f>
        <v>0.07220173054523266</v>
      </c>
    </row>
    <row r="9" spans="1:4">
      <c r="A9" s="9" t="s">
        <v>112</v>
      </c>
      <c r="B9" s="28">
        <f>('Income Statement'!B19/'Income Statement'!B6)</f>
        <v>0.07138497015735214</v>
      </c>
      <c r="C9" s="28">
        <f>('Income Statement'!C19/'Income Statement'!C6)</f>
        <v>0.06416536269793077</v>
      </c>
      <c r="D9" s="28">
        <f>('Income Statement'!D19/'Income Statement'!D6)</f>
        <v>0.04984361545856816</v>
      </c>
    </row>
    <row r="10" spans="1:4">
      <c r="A10" s="9" t="s">
        <v>113</v>
      </c>
      <c r="B10" s="21" t="s">
        <v>142</v>
      </c>
      <c r="C10" s="28">
        <f>(('Income Statement'!C6/'Income Statement'!B6)-1)</f>
        <v>0.16163863266413458</v>
      </c>
      <c r="D10" s="28">
        <f>(('Income Statement'!D6/'Income Statement'!C6)-1)</f>
        <v>0.12282996247683986</v>
      </c>
    </row>
    <row r="11" spans="1:4">
      <c r="A11" s="9" t="s">
        <v>114</v>
      </c>
      <c r="B11" s="29">
        <f>('Balance Sheet'!B11/'Balance Sheet'!B17)</f>
        <v>2.375359575141573</v>
      </c>
      <c r="C11" s="29">
        <f>('Balance Sheet'!C11/'Balance Sheet'!C17)</f>
        <v>1.9775087004228307</v>
      </c>
      <c r="D11" s="29">
        <f>('Balance Sheet'!D11/'Balance Sheet'!D17)</f>
        <v>2.061380776044375</v>
      </c>
    </row>
    <row r="12" spans="1:4">
      <c r="A12" s="9" t="s">
        <v>115</v>
      </c>
      <c r="B12" s="29">
        <f>(('Balance Sheet'!B18+'Balance Sheet'!B19)/'Income Statement'!B13)</f>
        <v>1.0204081632653061</v>
      </c>
      <c r="C12" s="29">
        <f>(('Balance Sheet'!C18+'Balance Sheet'!C19)/'Income Statement'!C13)</f>
        <v>0.8063511398064572</v>
      </c>
      <c r="D12" s="29">
        <f>(('Balance Sheet'!D18+'Balance Sheet'!D19)/'Income Statement'!D13)</f>
        <v>0.623294596728396</v>
      </c>
    </row>
    <row r="13" spans="1:4">
      <c r="A13" s="9" t="s">
        <v>116</v>
      </c>
      <c r="B13" s="28">
        <f>('Income Statement'!B19/((('Assumptions'!B37+'Assumptions'!B38)+'Balance Sheet'!B24)/2))</f>
        <v>0.25841432225063937</v>
      </c>
      <c r="C13" s="28">
        <f>('Income Statement'!C19/(('Balance Sheet'!B24+'Balance Sheet'!C24)/2))</f>
        <v>0.21344863684253473</v>
      </c>
      <c r="D13" s="28">
        <f>('Income Statement'!D19/(('Balance Sheet'!C24+'Balance Sheet'!D24)/2))</f>
        <v>0.15516848585398005</v>
      </c>
    </row>
    <row r="14" spans="1:4">
      <c r="A14" s="9" t="s">
        <v>117</v>
      </c>
      <c r="B14" s="30">
        <f>(('Balance Sheet'!B8/'Income Statement'!B6)*365)</f>
        <v>38.0</v>
      </c>
      <c r="C14" s="30">
        <f>(('Balance Sheet'!C8/'Income Statement'!C6)*365)</f>
        <v>37.99999999999999</v>
      </c>
      <c r="D14" s="30">
        <f>(('Balance Sheet'!D8/'Income Statement'!D6)*365)</f>
        <v>37.99999999999999</v>
      </c>
    </row>
    <row r="15" spans="1:4">
      <c r="A15" s="9" t="s">
        <v>118</v>
      </c>
      <c r="B15" s="30">
        <f>(('Balance Sheet'!B9/('Income Statement'!B7+'Income Statement'!B8))*365)</f>
        <v>55.0</v>
      </c>
      <c r="C15" s="30">
        <f>(('Balance Sheet'!C9/('Income Statement'!C7+'Income Statement'!C8))*365)</f>
        <v>55.00000000000001</v>
      </c>
      <c r="D15" s="30">
        <f>(('Balance Sheet'!D9/('Income Statement'!D7+'Income Statement'!D8))*365)</f>
        <v>55.0</v>
      </c>
    </row>
    <row r="16" spans="1:4">
      <c r="A16" s="9" t="s">
        <v>119</v>
      </c>
      <c r="B16" s="30">
        <f>(('Balance Sheet'!B15/('Income Statement'!B7+'Income Statement'!B8))*365)</f>
        <v>45.0</v>
      </c>
      <c r="C16" s="30">
        <f>(('Balance Sheet'!C15/('Income Statement'!C7+'Income Statement'!C8))*365)</f>
        <v>45.0</v>
      </c>
      <c r="D16" s="30">
        <f>(('Balance Sheet'!D15/('Income Statement'!D7+'Income Statement'!D8))*365)</f>
        <v>45.0</v>
      </c>
    </row>
    <row r="17" spans="1:4">
      <c r="A17" s="9" t="s">
        <v>120</v>
      </c>
      <c r="B17" s="31">
        <f>((B14+B15)-B16)</f>
        <v>48.0</v>
      </c>
      <c r="C17" s="31">
        <f>((C14+C15)-C16)</f>
        <v>48.0</v>
      </c>
      <c r="D17" s="31">
        <f>((D14+D15)-D16)</f>
        <v>48.0</v>
      </c>
    </row>
    <row r="18" spans="1:4">
      <c r="A18" s="9" t="s">
        <v>121</v>
      </c>
      <c r="B18" s="16">
        <f>('Cash Flow'!B13+'Cash Flow'!B14)</f>
        <v>2894.629794520548</v>
      </c>
      <c r="C18" s="16">
        <f>('Cash Flow'!C13+'Cash Flow'!C14)</f>
        <v>-917.3467294520542</v>
      </c>
      <c r="D18" s="16">
        <f>('Cash Flow'!D13+'Cash Flow'!D14)</f>
        <v>2651.4190217251708</v>
      </c>
    </row>
    <row r="19" spans="1:4">
      <c r="A19" s="9" t="s">
        <v>122</v>
      </c>
      <c r="B19" s="28">
        <f>(('Cash Flow'!B13+'Cash Flow'!B14)/'Income Statement'!B6)</f>
        <v>0.05235358644457493</v>
      </c>
      <c r="C19" s="28">
        <f>(('Cash Flow'!C13+'Cash Flow'!C14)/'Income Statement'!C6)</f>
        <v>-0.01428288304688144</v>
      </c>
      <c r="D19" s="28">
        <f>(('Cash Flow'!D13+'Cash Flow'!D14)/'Income Statement'!D6)</f>
        <v>0.03676603003113277</v>
      </c>
    </row>
  </sheetData>
  <pageMargins left="0.7" right="0.7" top="0.75" bottom="0.75" header="0.3" footer="0.3"/>
  <pageSetup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18"/>
  <sheetViews>
    <sheetView showGridLines="0" workbookViewId="0"/>
  </sheetViews>
  <sheetFormatPr defaultRowHeight="15"/>
  <cols>
    <col min="1" max="1" width="34.7109375" customWidth="1"/>
  </cols>
  <sheetData>
    <row r="1" spans="1:3">
      <c r="A1" s="1" t="s">
        <v>0</v>
      </c>
    </row>
    <row r="2" spans="1:3">
      <c r="A2" s="3" t="s">
        <v>123</v>
      </c>
    </row>
    <row r="3" spans="1:3">
      <c r="A3" s="7" t="s">
        <v>22</v>
      </c>
    </row>
    <row r="5" spans="1:3">
      <c r="A5" s="8"/>
      <c r="B5" s="8" t="s">
        <v>124</v>
      </c>
      <c r="C5" s="8" t="s">
        <v>125</v>
      </c>
    </row>
    <row r="6" spans="1:3">
      <c r="A6" s="9" t="s">
        <v>126</v>
      </c>
      <c r="B6" s="32">
        <f>((0.163-0.155)*145900)</f>
        <v>1167.200000000001</v>
      </c>
      <c r="C6" s="21" t="s">
        <v>127</v>
      </c>
    </row>
    <row r="7" spans="1:3">
      <c r="A7" s="9" t="s">
        <v>128</v>
      </c>
      <c r="B7" s="16">
        <f>((145900-(24*'Assumptions'!D6))*0.155)</f>
        <v>443.3</v>
      </c>
      <c r="C7" s="21" t="s">
        <v>127</v>
      </c>
    </row>
    <row r="8" spans="1:3">
      <c r="A8" s="9" t="s">
        <v>129</v>
      </c>
      <c r="B8" s="32">
        <f>((11.35-11.6)*305)</f>
        <v>-76.25</v>
      </c>
      <c r="C8" s="21" t="s">
        <v>130</v>
      </c>
    </row>
    <row r="9" spans="1:3">
      <c r="A9" s="9" t="s">
        <v>131</v>
      </c>
      <c r="B9" s="16">
        <f>((305-(0.05*'Assumptions'!D6))*11.6)</f>
        <v>81.2</v>
      </c>
      <c r="C9" s="21" t="s">
        <v>127</v>
      </c>
    </row>
    <row r="10" spans="1:3">
      <c r="A10" s="9" t="s">
        <v>132</v>
      </c>
      <c r="B10" s="32">
        <f>((9.4-9)*243.6)</f>
        <v>97.44000000000008</v>
      </c>
      <c r="C10" s="21" t="s">
        <v>127</v>
      </c>
    </row>
    <row r="11" spans="1:3">
      <c r="A11" s="9" t="s">
        <v>133</v>
      </c>
      <c r="B11" s="16">
        <f>((243.6-(0.04*'Assumptions'!D6))*9)</f>
        <v>46.7999999999999</v>
      </c>
      <c r="C11" s="21" t="s">
        <v>127</v>
      </c>
    </row>
    <row r="12" spans="1:3">
      <c r="A12" s="9" t="s">
        <v>134</v>
      </c>
      <c r="B12" s="32">
        <f>((0.43-0.44)*6050)</f>
        <v>-60.50000000000006</v>
      </c>
      <c r="C12" s="21" t="s">
        <v>130</v>
      </c>
    </row>
    <row r="13" spans="1:3">
      <c r="A13" s="9" t="s">
        <v>135</v>
      </c>
      <c r="B13" s="16">
        <f>((6050-(1*'Assumptions'!D6))*0.44)</f>
        <v>39.6</v>
      </c>
      <c r="C13" s="21" t="s">
        <v>127</v>
      </c>
    </row>
    <row r="14" spans="1:3">
      <c r="A14" s="9" t="s">
        <v>136</v>
      </c>
      <c r="B14" s="32">
        <f>((29.1-27.5)*118.4)</f>
        <v>189.44000000000017</v>
      </c>
      <c r="C14" s="21" t="s">
        <v>127</v>
      </c>
    </row>
    <row r="15" spans="1:3">
      <c r="A15" s="9" t="s">
        <v>137</v>
      </c>
      <c r="B15" s="16">
        <f>((118.4-(0.0189*'Assumptions'!D6))*27.5)</f>
        <v>158.29000000000002</v>
      </c>
      <c r="C15" s="21" t="s">
        <v>127</v>
      </c>
    </row>
    <row r="16" spans="1:3">
      <c r="A16" s="9" t="s">
        <v>138</v>
      </c>
      <c r="B16" s="32">
        <f>(10925-10800)</f>
        <v>125.0</v>
      </c>
      <c r="C16" s="21" t="s">
        <v>127</v>
      </c>
    </row>
    <row r="17" spans="1:3">
      <c r="A17" s="9" t="s">
        <v>139</v>
      </c>
      <c r="B17" s="16">
        <f>(10800-(1.8*'Assumptions'!D6))</f>
        <v>72.0</v>
      </c>
      <c r="C17" s="21" t="s">
        <v>127</v>
      </c>
    </row>
    <row r="18" spans="1:3">
      <c r="A18" s="19" t="s">
        <v>140</v>
      </c>
      <c r="B18" s="33">
        <f>(((0.163-0.155)*145900)+((145900-(24*'Assumptions'!D6))*0.155)+((11.35-11.6)*305)+((305-(0.05*'Assumptions'!D6))*11.6)+((9.4-9)*243.6)+((243.6-(0.04*'Assumptions'!D6))*9)+((0.43-0.44)*6050)+((6050-(1*'Assumptions'!D6))*0.44)+((29.1-27.5)*118.4)+((118.4-(0.0189*'Assumptions'!D6))*27.5)+(10925-10800)+(10800-(1.8*'Assumptions'!D6)))</f>
        <v>2283.520000000001</v>
      </c>
      <c r="C18" s="21" t="s">
        <v>127</v>
      </c>
    </row>
  </sheetData>
  <pageMargins left="0.7" right="0.7" top="0.75" bottom="0.75" header="0.3" footer="0.3"/>
  <pageSetup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12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62.7109375" customWidth="1"/>
    <col min="2" max="2" width="13.7109375" customWidth="1"/>
  </cols>
  <sheetData>
    <row r="1" spans="1:2">
      <c r="A1" s="1" t="s">
        <v>0</v>
      </c>
    </row>
    <row r="2" spans="1:2">
      <c r="A2" s="3" t="s">
        <v>143</v>
      </c>
    </row>
    <row r="3" spans="1:2">
      <c r="A3" s="7" t="s">
        <v>22</v>
      </c>
    </row>
    <row r="5" spans="1:2">
      <c r="A5" s="8"/>
      <c r="B5" s="8" t="s">
        <v>124</v>
      </c>
    </row>
    <row r="6" spans="1:2">
      <c r="A6" s="9" t="s">
        <v>144</v>
      </c>
      <c r="B6" s="16">
        <f>'Income Statement'!C9</f>
        <v>23971.0</v>
      </c>
    </row>
    <row r="7" spans="1:2">
      <c r="A7" s="9" t="s">
        <v>145</v>
      </c>
      <c r="B7" s="16">
        <f>(('Assumptions'!D6-'Assumptions'!C6)*('Assumptions'!C7-'Assumptions'!C8))</f>
        <v>2457.0</v>
      </c>
    </row>
    <row r="8" spans="1:2">
      <c r="A8" s="9" t="s">
        <v>146</v>
      </c>
      <c r="B8" s="16">
        <f>(('Assumptions'!D7-'Assumptions'!C7)*'Assumptions'!D6)</f>
        <v>1490.0</v>
      </c>
    </row>
    <row r="9" spans="1:2">
      <c r="A9" s="9" t="s">
        <v>147</v>
      </c>
      <c r="B9" s="16">
        <f>((-('Assumptions'!D8-'Assumptions'!C8))*'Assumptions'!D6)</f>
        <v>-715.2000000000006</v>
      </c>
    </row>
    <row r="10" spans="1:2">
      <c r="A10" s="9" t="s">
        <v>148</v>
      </c>
      <c r="B10" s="16">
        <f>(-('Income Statement'!D8-'Income Statement'!C8))</f>
        <v>-1593.520000000001</v>
      </c>
    </row>
    <row r="11" spans="1:2">
      <c r="A11" s="9" t="s">
        <v>149</v>
      </c>
      <c r="B11" s="16">
        <f>'Income Statement'!D9</f>
        <v>25609.280000000002</v>
      </c>
    </row>
    <row r="12" spans="1:2">
      <c r="A12" s="9" t="s">
        <v>150</v>
      </c>
      <c r="B12" s="32">
        <f>(((((B6+B7)+B8)+B9)+B10)-B11)</f>
        <v>-3.637978807091713e-12</v>
      </c>
    </row>
  </sheetData>
  <pageMargins left="0.7" right="0.7" top="0.75" bottom="0.75" header="0.3" footer="0.3"/>
  <pageSetup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21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62.7109375" customWidth="1"/>
    <col min="2" max="14" width="9.7109375" customWidth="1"/>
  </cols>
  <sheetData>
    <row r="1" spans="1:14">
      <c r="A1" s="1" t="s">
        <v>0</v>
      </c>
    </row>
    <row r="2" spans="1:14">
      <c r="A2" s="3" t="s">
        <v>151</v>
      </c>
    </row>
    <row r="3" spans="1:14">
      <c r="A3" s="7" t="s">
        <v>22</v>
      </c>
    </row>
    <row r="5" spans="1:14">
      <c r="A5" s="8"/>
      <c r="B5" s="8" t="s">
        <v>152</v>
      </c>
      <c r="C5" s="8" t="s">
        <v>153</v>
      </c>
      <c r="D5" s="8" t="s">
        <v>154</v>
      </c>
      <c r="E5" s="8" t="s">
        <v>155</v>
      </c>
      <c r="F5" s="8" t="s">
        <v>156</v>
      </c>
      <c r="G5" s="8" t="s">
        <v>157</v>
      </c>
      <c r="H5" s="8" t="s">
        <v>158</v>
      </c>
      <c r="I5" s="8" t="s">
        <v>159</v>
      </c>
      <c r="J5" s="8" t="s">
        <v>160</v>
      </c>
      <c r="K5" s="8" t="s">
        <v>161</v>
      </c>
      <c r="L5" s="8" t="s">
        <v>162</v>
      </c>
      <c r="M5" s="8" t="s">
        <v>163</v>
      </c>
      <c r="N5" s="8" t="s">
        <v>164</v>
      </c>
    </row>
    <row r="6" spans="1:14">
      <c r="A6" s="9" t="s">
        <v>108</v>
      </c>
      <c r="B6" s="16">
        <f>'Cash Flow'!D21</f>
        <v>2528.7020867936644</v>
      </c>
      <c r="C6" s="32">
        <f>B19</f>
        <v>2133.7020867936644</v>
      </c>
      <c r="D6" s="32">
        <f>C19</f>
        <v>2203.7020867936644</v>
      </c>
      <c r="E6" s="32">
        <f>D19</f>
        <v>1973.7020867936644</v>
      </c>
      <c r="F6" s="32">
        <f>E19</f>
        <v>2333.7020867936644</v>
      </c>
      <c r="G6" s="32">
        <f>F19</f>
        <v>1978.7020867936644</v>
      </c>
      <c r="H6" s="32">
        <f>G19</f>
        <v>2038.7020867936644</v>
      </c>
      <c r="I6" s="32">
        <f>H19</f>
        <v>1808.7020867936644</v>
      </c>
      <c r="J6" s="32">
        <f>I19</f>
        <v>1738.7020867936644</v>
      </c>
      <c r="K6" s="32">
        <f>J19</f>
        <v>1500.0</v>
      </c>
      <c r="L6" s="32">
        <f>K19</f>
        <v>1503.7020867936644</v>
      </c>
      <c r="M6" s="32">
        <f>L19</f>
        <v>1500.0</v>
      </c>
      <c r="N6" s="32">
        <f>M19</f>
        <v>1500.0</v>
      </c>
    </row>
    <row r="7" spans="1:14">
      <c r="A7" s="9" t="s">
        <v>165</v>
      </c>
      <c r="B7" s="32">
        <f>1280</f>
        <v>1280.0</v>
      </c>
      <c r="C7" s="32">
        <f>1310</f>
        <v>1310.0</v>
      </c>
      <c r="D7" s="32">
        <f>1390</f>
        <v>1390.0</v>
      </c>
      <c r="E7" s="32">
        <f>1350</f>
        <v>1350.0</v>
      </c>
      <c r="F7" s="32">
        <f>1300</f>
        <v>1300.0</v>
      </c>
      <c r="G7" s="32">
        <f>1340</f>
        <v>1340.0</v>
      </c>
      <c r="H7" s="32">
        <f>1410</f>
        <v>1410.0</v>
      </c>
      <c r="I7" s="32">
        <f>1380</f>
        <v>1380.0</v>
      </c>
      <c r="J7" s="32">
        <f>1360</f>
        <v>1360.0</v>
      </c>
      <c r="K7" s="32">
        <f>1420</f>
        <v>1420.0</v>
      </c>
      <c r="L7" s="32">
        <f>1450</f>
        <v>1450.0</v>
      </c>
      <c r="M7" s="32">
        <f>1470</f>
        <v>1470.0</v>
      </c>
      <c r="N7" s="32">
        <f>1500</f>
        <v>1500.0</v>
      </c>
    </row>
    <row r="8" spans="1:14">
      <c r="A8" s="9" t="s">
        <v>166</v>
      </c>
      <c r="B8" s="32">
        <f>820</f>
        <v>820.0</v>
      </c>
      <c r="C8" s="32">
        <f>790</f>
        <v>790.0</v>
      </c>
      <c r="D8" s="32">
        <f>860</f>
        <v>860.0</v>
      </c>
      <c r="E8" s="32">
        <f>840</f>
        <v>840.0</v>
      </c>
      <c r="F8" s="32">
        <f>800</f>
        <v>800.0</v>
      </c>
      <c r="G8" s="32">
        <f>830</f>
        <v>830.0</v>
      </c>
      <c r="H8" s="32">
        <f>880</f>
        <v>880.0</v>
      </c>
      <c r="I8" s="32">
        <f>850</f>
        <v>850.0</v>
      </c>
      <c r="J8" s="32">
        <f>840</f>
        <v>840.0</v>
      </c>
      <c r="K8" s="32">
        <f>870</f>
        <v>870.0</v>
      </c>
      <c r="L8" s="32">
        <f>890</f>
        <v>890.0</v>
      </c>
      <c r="M8" s="32">
        <f>900</f>
        <v>900.0</v>
      </c>
      <c r="N8" s="32">
        <f>910</f>
        <v>910.0</v>
      </c>
    </row>
    <row r="9" spans="1:14">
      <c r="A9" s="9" t="s">
        <v>167</v>
      </c>
      <c r="B9" s="32">
        <f>610</f>
        <v>610.0</v>
      </c>
      <c r="C9" s="32">
        <f>0</f>
        <v>0.0</v>
      </c>
      <c r="D9" s="32">
        <f>610</f>
        <v>610.0</v>
      </c>
      <c r="E9" s="32">
        <f>0</f>
        <v>0.0</v>
      </c>
      <c r="F9" s="32">
        <f>610</f>
        <v>610.0</v>
      </c>
      <c r="G9" s="32">
        <f>0</f>
        <v>0.0</v>
      </c>
      <c r="H9" s="32">
        <f>610</f>
        <v>610.0</v>
      </c>
      <c r="I9" s="32">
        <f>0</f>
        <v>0.0</v>
      </c>
      <c r="J9" s="32">
        <f>610</f>
        <v>610.0</v>
      </c>
      <c r="K9" s="32">
        <f>0</f>
        <v>0.0</v>
      </c>
      <c r="L9" s="32">
        <f>610</f>
        <v>610.0</v>
      </c>
      <c r="M9" s="32">
        <f>0</f>
        <v>0.0</v>
      </c>
      <c r="N9" s="32">
        <f>610</f>
        <v>610.0</v>
      </c>
    </row>
    <row r="10" spans="1:14">
      <c r="A10" s="9" t="s">
        <v>168</v>
      </c>
      <c r="B10" s="32">
        <f>150</f>
        <v>150.0</v>
      </c>
      <c r="C10" s="32">
        <f>150</f>
        <v>150.0</v>
      </c>
      <c r="D10" s="32">
        <f>150</f>
        <v>150.0</v>
      </c>
      <c r="E10" s="32">
        <f>150</f>
        <v>150.0</v>
      </c>
      <c r="F10" s="32">
        <f>150</f>
        <v>150.0</v>
      </c>
      <c r="G10" s="32">
        <f>150</f>
        <v>150.0</v>
      </c>
      <c r="H10" s="32">
        <f>150</f>
        <v>150.0</v>
      </c>
      <c r="I10" s="32">
        <f>150</f>
        <v>150.0</v>
      </c>
      <c r="J10" s="32">
        <f>150</f>
        <v>150.0</v>
      </c>
      <c r="K10" s="32">
        <f>150</f>
        <v>150.0</v>
      </c>
      <c r="L10" s="32">
        <f>150</f>
        <v>150.0</v>
      </c>
      <c r="M10" s="32">
        <f>150</f>
        <v>150.0</v>
      </c>
      <c r="N10" s="32">
        <f>150</f>
        <v>150.0</v>
      </c>
    </row>
    <row r="11" spans="1:14">
      <c r="A11" s="9" t="s">
        <v>169</v>
      </c>
      <c r="B11" s="32">
        <f>95</f>
        <v>95.0</v>
      </c>
      <c r="C11" s="32">
        <f>0</f>
        <v>0.0</v>
      </c>
      <c r="D11" s="32">
        <f>0</f>
        <v>0.0</v>
      </c>
      <c r="E11" s="32">
        <f>0</f>
        <v>0.0</v>
      </c>
      <c r="F11" s="32">
        <f>95</f>
        <v>95.0</v>
      </c>
      <c r="G11" s="32">
        <f>0</f>
        <v>0.0</v>
      </c>
      <c r="H11" s="32">
        <f>0</f>
        <v>0.0</v>
      </c>
      <c r="I11" s="32">
        <f>0</f>
        <v>0.0</v>
      </c>
      <c r="J11" s="32">
        <f>95</f>
        <v>95.0</v>
      </c>
      <c r="K11" s="32">
        <f>0</f>
        <v>0.0</v>
      </c>
      <c r="L11" s="32">
        <f>0</f>
        <v>0.0</v>
      </c>
      <c r="M11" s="32">
        <f>0</f>
        <v>0.0</v>
      </c>
      <c r="N11" s="32">
        <f>0</f>
        <v>0.0</v>
      </c>
    </row>
    <row r="12" spans="1:14">
      <c r="A12" s="9" t="s">
        <v>170</v>
      </c>
      <c r="B12" s="32">
        <f>0</f>
        <v>0.0</v>
      </c>
      <c r="C12" s="32">
        <f>300</f>
        <v>300.0</v>
      </c>
      <c r="D12" s="32">
        <f>0</f>
        <v>0.0</v>
      </c>
      <c r="E12" s="32">
        <f>0</f>
        <v>0.0</v>
      </c>
      <c r="F12" s="32">
        <f>0</f>
        <v>0.0</v>
      </c>
      <c r="G12" s="32">
        <f>300</f>
        <v>300.0</v>
      </c>
      <c r="H12" s="32">
        <f>0</f>
        <v>0.0</v>
      </c>
      <c r="I12" s="32">
        <f>0</f>
        <v>0.0</v>
      </c>
      <c r="J12" s="32">
        <f>0</f>
        <v>0.0</v>
      </c>
      <c r="K12" s="32">
        <f>300</f>
        <v>300.0</v>
      </c>
      <c r="L12" s="32">
        <f>0</f>
        <v>0.0</v>
      </c>
      <c r="M12" s="32">
        <f>0</f>
        <v>0.0</v>
      </c>
      <c r="N12" s="32">
        <f>0</f>
        <v>0.0</v>
      </c>
    </row>
    <row r="13" spans="1:14">
      <c r="A13" s="9" t="s">
        <v>171</v>
      </c>
      <c r="B13" s="32">
        <f>0</f>
        <v>0.0</v>
      </c>
      <c r="C13" s="32">
        <f>0</f>
        <v>0.0</v>
      </c>
      <c r="D13" s="32">
        <f>0</f>
        <v>0.0</v>
      </c>
      <c r="E13" s="32">
        <f>0</f>
        <v>0.0</v>
      </c>
      <c r="F13" s="32">
        <f>0</f>
        <v>0.0</v>
      </c>
      <c r="G13" s="32">
        <f>0</f>
        <v>0.0</v>
      </c>
      <c r="H13" s="32">
        <f>0</f>
        <v>0.0</v>
      </c>
      <c r="I13" s="32">
        <f>0</f>
        <v>0.0</v>
      </c>
      <c r="J13" s="32">
        <f>0</f>
        <v>0.0</v>
      </c>
      <c r="K13" s="32">
        <f>0</f>
        <v>0.0</v>
      </c>
      <c r="L13" s="32">
        <f>900</f>
        <v>900.0</v>
      </c>
      <c r="M13" s="32">
        <f>0</f>
        <v>0.0</v>
      </c>
      <c r="N13" s="32">
        <f>0</f>
        <v>0.0</v>
      </c>
    </row>
    <row r="14" spans="1:14">
      <c r="A14" s="9" t="s">
        <v>35</v>
      </c>
      <c r="B14" s="32">
        <f>0</f>
        <v>0.0</v>
      </c>
      <c r="C14" s="32">
        <f>0</f>
        <v>0.0</v>
      </c>
      <c r="D14" s="32">
        <f>0</f>
        <v>0.0</v>
      </c>
      <c r="E14" s="32">
        <f>0</f>
        <v>0.0</v>
      </c>
      <c r="F14" s="32">
        <f>0</f>
        <v>0.0</v>
      </c>
      <c r="G14" s="32">
        <f>0</f>
        <v>0.0</v>
      </c>
      <c r="H14" s="32">
        <f>0</f>
        <v>0.0</v>
      </c>
      <c r="I14" s="32">
        <f>450</f>
        <v>450.0</v>
      </c>
      <c r="J14" s="32">
        <f>0</f>
        <v>0.0</v>
      </c>
      <c r="K14" s="32">
        <f>0</f>
        <v>0.0</v>
      </c>
      <c r="L14" s="32">
        <f>0</f>
        <v>0.0</v>
      </c>
      <c r="M14" s="32">
        <f>0</f>
        <v>0.0</v>
      </c>
      <c r="N14" s="32">
        <f>0</f>
        <v>0.0</v>
      </c>
    </row>
    <row r="15" spans="1:14">
      <c r="A15" s="9" t="s">
        <v>172</v>
      </c>
      <c r="B15" s="32">
        <f>0</f>
        <v>0.0</v>
      </c>
      <c r="C15" s="32">
        <f>0</f>
        <v>0.0</v>
      </c>
      <c r="D15" s="32">
        <f>0</f>
        <v>0.0</v>
      </c>
      <c r="E15" s="32">
        <f>0</f>
        <v>0.0</v>
      </c>
      <c r="F15" s="32">
        <f>0</f>
        <v>0.0</v>
      </c>
      <c r="G15" s="32">
        <f>0</f>
        <v>0.0</v>
      </c>
      <c r="H15" s="32">
        <f>0</f>
        <v>0.0</v>
      </c>
      <c r="I15" s="32">
        <f>0</f>
        <v>0.0</v>
      </c>
      <c r="J15" s="32">
        <f>0</f>
        <v>0.0</v>
      </c>
      <c r="K15" s="32">
        <f>0</f>
        <v>0.0</v>
      </c>
      <c r="L15" s="32">
        <f>0</f>
        <v>0.0</v>
      </c>
      <c r="M15" s="32">
        <f>0</f>
        <v>0.0</v>
      </c>
      <c r="N15" s="16">
        <f>((('Assumptions'!B17*0)+375)+('Balance Sheet'!D19*('Assumptions'!B18/4)))</f>
        <v>450.9375</v>
      </c>
    </row>
    <row r="16" spans="1:14">
      <c r="A16" s="17" t="s">
        <v>173</v>
      </c>
      <c r="B16" s="18">
        <f>(B8+B9+B10+B11+B12+B13+B14+B15)</f>
        <v>1675.0</v>
      </c>
      <c r="C16" s="18">
        <f>(C8+C9+C10+C11+C12+C13+C14+C15)</f>
        <v>1240.0</v>
      </c>
      <c r="D16" s="18">
        <f>(D8+D9+D10+D11+D12+D13+D14+D15)</f>
        <v>1620.0</v>
      </c>
      <c r="E16" s="18">
        <f>(E8+E9+E10+E11+E12+E13+E14+E15)</f>
        <v>990.0</v>
      </c>
      <c r="F16" s="18">
        <f>(F8+F9+F10+F11+F12+F13+F14+F15)</f>
        <v>1655.0</v>
      </c>
      <c r="G16" s="18">
        <f>(G8+G9+G10+G11+G12+G13+G14+G15)</f>
        <v>1280.0</v>
      </c>
      <c r="H16" s="18">
        <f>(H8+H9+H10+H11+H12+H13+H14+H15)</f>
        <v>1640.0</v>
      </c>
      <c r="I16" s="18">
        <f>(I8+I9+I10+I11+I12+I13+I14+I15)</f>
        <v>1450.0</v>
      </c>
      <c r="J16" s="18">
        <f>(J8+J9+J10+J11+J12+J13+J14+J15)</f>
        <v>1695.0</v>
      </c>
      <c r="K16" s="18">
        <f>(K8+K9+K10+K11+K12+K13+K14+K15)</f>
        <v>1320.0</v>
      </c>
      <c r="L16" s="18">
        <f>(L8+L9+L10+L11+L12+L13+L14+L15)</f>
        <v>2550.0</v>
      </c>
      <c r="M16" s="18">
        <f>(M8+M9+M10+M11+M12+M13+M14+M15)</f>
        <v>1050.0</v>
      </c>
      <c r="N16" s="18">
        <f>(N8+N9+N10+N11+N12+N13+N14+N15)</f>
        <v>2120.9375</v>
      </c>
    </row>
    <row r="17" spans="1:14">
      <c r="A17" s="17" t="s">
        <v>174</v>
      </c>
      <c r="B17" s="18">
        <f>(B7-B16)</f>
        <v>-395.0</v>
      </c>
      <c r="C17" s="18">
        <f>(C7-C16)</f>
        <v>70.0</v>
      </c>
      <c r="D17" s="18">
        <f>(D7-D16)</f>
        <v>-230.0</v>
      </c>
      <c r="E17" s="18">
        <f>(E7-E16)</f>
        <v>360.0</v>
      </c>
      <c r="F17" s="18">
        <f>(F7-F16)</f>
        <v>-355.0</v>
      </c>
      <c r="G17" s="18">
        <f>(G7-G16)</f>
        <v>60.0</v>
      </c>
      <c r="H17" s="18">
        <f>(H7-H16)</f>
        <v>-230.0</v>
      </c>
      <c r="I17" s="18">
        <f>(I7-I16)</f>
        <v>-70.0</v>
      </c>
      <c r="J17" s="18">
        <f>(J7-J16)</f>
        <v>-335.0</v>
      </c>
      <c r="K17" s="18">
        <f>(K7-K16)</f>
        <v>100.0</v>
      </c>
      <c r="L17" s="18">
        <f>(L7-L16)</f>
        <v>-1100.0</v>
      </c>
      <c r="M17" s="18">
        <f>(M7-M16)</f>
        <v>420.0</v>
      </c>
      <c r="N17" s="18">
        <f>(N7-N16)</f>
        <v>-620.9375</v>
      </c>
    </row>
    <row r="18" spans="1:14">
      <c r="A18" s="9" t="s">
        <v>105</v>
      </c>
      <c r="B18" s="16">
        <f>(MAX(0,MIN(('Assumptions'!B21-(B6+B17)),('Assumptions'!B19-'Balance Sheet'!D18)))-MAX(0,MIN('Balance Sheet'!D18,((B6+B17)-'Assumptions'!B21))))</f>
        <v>0.0</v>
      </c>
      <c r="C18" s="16">
        <f>(MAX(0,MIN(('Assumptions'!B21-(C6+C17)),('Assumptions'!B19-B20)))-MAX(0,MIN(B20,((C6+C17)-'Assumptions'!B21))))</f>
        <v>0.0</v>
      </c>
      <c r="D18" s="16">
        <f>(MAX(0,MIN(('Assumptions'!B21-(D6+D17)),('Assumptions'!B19-C20)))-MAX(0,MIN(C20,((D6+D17)-'Assumptions'!B21))))</f>
        <v>0.0</v>
      </c>
      <c r="E18" s="16">
        <f>(MAX(0,MIN(('Assumptions'!B21-(E6+E17)),('Assumptions'!B19-D20)))-MAX(0,MIN(D20,((E6+E17)-'Assumptions'!B21))))</f>
        <v>0.0</v>
      </c>
      <c r="F18" s="16">
        <f>(MAX(0,MIN(('Assumptions'!B21-(F6+F17)),('Assumptions'!B19-E20)))-MAX(0,MIN(E20,((F6+F17)-'Assumptions'!B21))))</f>
        <v>0.0</v>
      </c>
      <c r="G18" s="16">
        <f>(MAX(0,MIN(('Assumptions'!B21-(G6+G17)),('Assumptions'!B19-F20)))-MAX(0,MIN(F20,((G6+G17)-'Assumptions'!B21))))</f>
        <v>0.0</v>
      </c>
      <c r="H18" s="16">
        <f>(MAX(0,MIN(('Assumptions'!B21-(H6+H17)),('Assumptions'!B19-G20)))-MAX(0,MIN(G20,((H6+H17)-'Assumptions'!B21))))</f>
        <v>0.0</v>
      </c>
      <c r="I18" s="16">
        <f>(MAX(0,MIN(('Assumptions'!B21-(I6+I17)),('Assumptions'!B19-H20)))-MAX(0,MIN(H20,((I6+I17)-'Assumptions'!B21))))</f>
        <v>0.0</v>
      </c>
      <c r="J18" s="16">
        <f>(MAX(0,MIN(('Assumptions'!B21-(J6+J17)),('Assumptions'!B19-I20)))-MAX(0,MIN(I20,((J6+J17)-'Assumptions'!B21))))</f>
        <v>96.29791320633558</v>
      </c>
      <c r="K18" s="16">
        <f>(MAX(0,MIN(('Assumptions'!B21-(K6+K17)),('Assumptions'!B19-J20)))-MAX(0,MIN(J20,((K6+K17)-'Assumptions'!B21))))</f>
        <v>-96.29791320633558</v>
      </c>
      <c r="L18" s="16">
        <f>(MAX(0,MIN(('Assumptions'!B21-(L6+L17)),('Assumptions'!B19-K20)))-MAX(0,MIN(K20,((L6+L17)-'Assumptions'!B21))))</f>
        <v>1096.2979132063356</v>
      </c>
      <c r="M18" s="16">
        <f>(MAX(0,MIN(('Assumptions'!B21-(M6+M17)),('Assumptions'!B19-L20)))-MAX(0,MIN(L20,((M6+M17)-'Assumptions'!B21))))</f>
        <v>-420.0</v>
      </c>
      <c r="N18" s="16">
        <f>(MAX(0,MIN(('Assumptions'!B21-(N6+N17)),('Assumptions'!B19-M20)))-MAX(0,MIN(M20,((N6+N17)-'Assumptions'!B21))))</f>
        <v>620.9375</v>
      </c>
    </row>
    <row r="19" spans="1:14">
      <c r="A19" s="19" t="s">
        <v>109</v>
      </c>
      <c r="B19" s="20">
        <f>((B6+B17)+B18)</f>
        <v>2133.7020867936644</v>
      </c>
      <c r="C19" s="20">
        <f>((C6+C17)+C18)</f>
        <v>2203.7020867936644</v>
      </c>
      <c r="D19" s="20">
        <f>((D6+D17)+D18)</f>
        <v>1973.7020867936644</v>
      </c>
      <c r="E19" s="20">
        <f>((E6+E17)+E18)</f>
        <v>2333.7020867936644</v>
      </c>
      <c r="F19" s="20">
        <f>((F6+F17)+F18)</f>
        <v>1978.7020867936644</v>
      </c>
      <c r="G19" s="20">
        <f>((G6+G17)+G18)</f>
        <v>2038.7020867936644</v>
      </c>
      <c r="H19" s="20">
        <f>((H6+H17)+H18)</f>
        <v>1808.7020867936644</v>
      </c>
      <c r="I19" s="20">
        <f>((I6+I17)+I18)</f>
        <v>1738.7020867936644</v>
      </c>
      <c r="J19" s="20">
        <f>((J6+J17)+J18)</f>
        <v>1500.0</v>
      </c>
      <c r="K19" s="20">
        <f>((K6+K17)+K18)</f>
        <v>1503.7020867936644</v>
      </c>
      <c r="L19" s="20">
        <f>((L6+L17)+L18)</f>
        <v>1500.0</v>
      </c>
      <c r="M19" s="20">
        <f>((M6+M17)+M18)</f>
        <v>1500.0</v>
      </c>
      <c r="N19" s="20">
        <f>((N6+N17)+N18)</f>
        <v>1500.0</v>
      </c>
    </row>
    <row r="20" spans="1:14">
      <c r="A20" s="9" t="s">
        <v>175</v>
      </c>
      <c r="B20" s="16">
        <f>('Balance Sheet'!D18+B18)</f>
        <v>0.0</v>
      </c>
      <c r="C20" s="32">
        <f>(B20+C18)</f>
        <v>0.0</v>
      </c>
      <c r="D20" s="32">
        <f>(C20+D18)</f>
        <v>0.0</v>
      </c>
      <c r="E20" s="32">
        <f>(D20+E18)</f>
        <v>0.0</v>
      </c>
      <c r="F20" s="32">
        <f>(E20+F18)</f>
        <v>0.0</v>
      </c>
      <c r="G20" s="32">
        <f>(F20+G18)</f>
        <v>0.0</v>
      </c>
      <c r="H20" s="32">
        <f>(G20+H18)</f>
        <v>0.0</v>
      </c>
      <c r="I20" s="32">
        <f>(H20+I18)</f>
        <v>0.0</v>
      </c>
      <c r="J20" s="32">
        <f>(I20+J18)</f>
        <v>96.29791320633558</v>
      </c>
      <c r="K20" s="32">
        <f>(J20+K18)</f>
        <v>0.0</v>
      </c>
      <c r="L20" s="32">
        <f>(K20+L18)</f>
        <v>1096.2979132063356</v>
      </c>
      <c r="M20" s="32">
        <f>(L20+M18)</f>
        <v>676.2979132063356</v>
      </c>
      <c r="N20" s="32">
        <f>(M20+N18)</f>
        <v>1297.2354132063356</v>
      </c>
    </row>
    <row r="21" spans="1:14">
      <c r="A21" s="9" t="s">
        <v>176</v>
      </c>
      <c r="B21" s="16">
        <f>('Assumptions'!B19-B20)</f>
        <v>8000.0</v>
      </c>
      <c r="C21" s="16">
        <f>('Assumptions'!B19-C20)</f>
        <v>8000.0</v>
      </c>
      <c r="D21" s="16">
        <f>('Assumptions'!B19-D20)</f>
        <v>8000.0</v>
      </c>
      <c r="E21" s="16">
        <f>('Assumptions'!B19-E20)</f>
        <v>8000.0</v>
      </c>
      <c r="F21" s="16">
        <f>('Assumptions'!B19-F20)</f>
        <v>8000.0</v>
      </c>
      <c r="G21" s="16">
        <f>('Assumptions'!B19-G20)</f>
        <v>8000.0</v>
      </c>
      <c r="H21" s="16">
        <f>('Assumptions'!B19-H20)</f>
        <v>8000.0</v>
      </c>
      <c r="I21" s="16">
        <f>('Assumptions'!B19-I20)</f>
        <v>8000.0</v>
      </c>
      <c r="J21" s="16">
        <f>('Assumptions'!B19-J20)</f>
        <v>7903.702086793664</v>
      </c>
      <c r="K21" s="16">
        <f>('Assumptions'!B19-K20)</f>
        <v>8000.0</v>
      </c>
      <c r="L21" s="16">
        <f>('Assumptions'!B19-L20)</f>
        <v>6903.702086793664</v>
      </c>
      <c r="M21" s="16">
        <f>('Assumptions'!B19-M20)</f>
        <v>7323.702086793664</v>
      </c>
      <c r="N21" s="16">
        <f>('Assumptions'!B19-N20)</f>
        <v>6702.764586793664</v>
      </c>
    </row>
  </sheetData>
  <pageMargins left="0.7" right="0.7" top="0.75" bottom="0.75" header="0.3" footer="0.3"/>
  <pageSetup fitToHeight="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26"/>
  <sheetViews>
    <sheetView showGridLines="0" workbookViewId="0"/>
  </sheetViews>
  <sheetFormatPr defaultRowHeight="15"/>
  <cols>
    <col min="1" max="1" width="46.7109375" customWidth="1"/>
    <col min="2" max="4" width="16.7109375" customWidth="1"/>
  </cols>
  <sheetData>
    <row r="1" spans="1:3">
      <c r="A1" s="1" t="s">
        <v>17</v>
      </c>
    </row>
    <row r="3" spans="1:3">
      <c r="A3" s="17" t="s">
        <v>177</v>
      </c>
      <c r="B3" s="17" t="str">
        <f>IF(COUNTIF(C5:C26,"CHECK")=0,"ALL OK","CHECK FAILURES")</f>
        <v>ALL OK</v>
      </c>
    </row>
    <row r="4" spans="1:3">
      <c r="A4" s="8" t="s">
        <v>178</v>
      </c>
      <c r="B4" s="8" t="s">
        <v>179</v>
      </c>
      <c r="C4" s="8" t="s">
        <v>180</v>
      </c>
    </row>
    <row r="5" spans="1:3">
      <c r="A5" s="9" t="s">
        <v>181</v>
      </c>
      <c r="B5" s="32">
        <f>('Balance Sheet'!B13)-('Balance Sheet'!B25)</f>
        <v>0.0</v>
      </c>
      <c r="C5" s="9" t="str">
        <f>IF(ABS(B5)&lt;0.5,"OK","CHECK")</f>
        <v>OK</v>
      </c>
    </row>
    <row r="6" spans="1:3">
      <c r="A6" s="9" t="s">
        <v>182</v>
      </c>
      <c r="B6" s="32">
        <f>('Balance Sheet'!C13)-('Balance Sheet'!C25)</f>
        <v>7.275957614183426e-12</v>
      </c>
      <c r="C6" s="9" t="str">
        <f>IF(ABS(B6)&lt;0.5,"OK","CHECK")</f>
        <v>OK</v>
      </c>
    </row>
    <row r="7" spans="1:3">
      <c r="A7" s="9" t="s">
        <v>183</v>
      </c>
      <c r="B7" s="32">
        <f>('Balance Sheet'!D13)-('Balance Sheet'!D25)</f>
        <v>0.0</v>
      </c>
      <c r="C7" s="9" t="str">
        <f>IF(ABS(B7)&lt;0.5,"OK","CHECK")</f>
        <v>OK</v>
      </c>
    </row>
    <row r="8" spans="1:3">
      <c r="A8" s="9" t="s">
        <v>184</v>
      </c>
      <c r="B8" s="32">
        <f>('Cash Flow'!B21)-('Balance Sheet'!B7)</f>
        <v>0.0</v>
      </c>
      <c r="C8" s="9" t="str">
        <f>IF(ABS(B8)&lt;0.5,"OK","CHECK")</f>
        <v>OK</v>
      </c>
    </row>
    <row r="9" spans="1:3">
      <c r="A9" s="9" t="s">
        <v>185</v>
      </c>
      <c r="B9" s="32">
        <f>('Cash Flow'!C21)-('Balance Sheet'!C7)</f>
        <v>0.0</v>
      </c>
      <c r="C9" s="9" t="str">
        <f>IF(ABS(B9)&lt;0.5,"OK","CHECK")</f>
        <v>OK</v>
      </c>
    </row>
    <row r="10" spans="1:3">
      <c r="A10" s="9" t="s">
        <v>186</v>
      </c>
      <c r="B10" s="32">
        <f>('Cash Flow'!D21)-('Balance Sheet'!D7)</f>
        <v>0.0</v>
      </c>
      <c r="C10" s="9" t="str">
        <f>IF(ABS(B10)&lt;0.5,"OK","CHECK")</f>
        <v>OK</v>
      </c>
    </row>
    <row r="11" spans="1:3">
      <c r="A11" s="9" t="s">
        <v>187</v>
      </c>
      <c r="B11" s="32">
        <f>('Income Statement'!B19)-('Cash Flow'!B6)</f>
        <v>0.0</v>
      </c>
      <c r="C11" s="9" t="str">
        <f>IF(ABS(B11)&lt;0.5,"OK","CHECK")</f>
        <v>OK</v>
      </c>
    </row>
    <row r="12" spans="1:3">
      <c r="A12" s="9" t="s">
        <v>188</v>
      </c>
      <c r="B12" s="32">
        <f>('Income Statement'!C19)-('Cash Flow'!C6)</f>
        <v>0.0</v>
      </c>
      <c r="C12" s="9" t="str">
        <f>IF(ABS(B12)&lt;0.5,"OK","CHECK")</f>
        <v>OK</v>
      </c>
    </row>
    <row r="13" spans="1:3">
      <c r="A13" s="9" t="s">
        <v>189</v>
      </c>
      <c r="B13" s="32">
        <f>('Income Statement'!D19)-('Cash Flow'!D6)</f>
        <v>0.0</v>
      </c>
      <c r="C13" s="9" t="str">
        <f>IF(ABS(B13)&lt;0.5,"OK","CHECK")</f>
        <v>OK</v>
      </c>
    </row>
    <row r="14" spans="1:3">
      <c r="A14" s="9" t="s">
        <v>190</v>
      </c>
      <c r="B14" s="32">
        <f>('Cash Flow'!B20)-('Assumptions'!B28)</f>
        <v>0.0</v>
      </c>
      <c r="C14" s="9" t="str">
        <f>IF(ABS(B14)&lt;0.5,"OK","CHECK")</f>
        <v>OK</v>
      </c>
    </row>
    <row r="15" spans="1:3">
      <c r="A15" s="9" t="s">
        <v>191</v>
      </c>
      <c r="B15" s="32">
        <f>('Cash Flow'!C20)-('Cash Flow'!B21)</f>
        <v>0.0</v>
      </c>
      <c r="C15" s="9" t="str">
        <f>IF(ABS(B15)&lt;0.5,"OK","CHECK")</f>
        <v>OK</v>
      </c>
    </row>
    <row r="16" spans="1:3">
      <c r="A16" s="9" t="s">
        <v>192</v>
      </c>
      <c r="B16" s="32">
        <f>('Cash Flow'!D20)-('Cash Flow'!C21)</f>
        <v>0.0</v>
      </c>
      <c r="C16" s="9" t="str">
        <f>IF(ABS(B16)&lt;0.5,"OK","CHECK")</f>
        <v>OK</v>
      </c>
    </row>
    <row r="17" spans="1:3">
      <c r="A17" s="9" t="s">
        <v>193</v>
      </c>
      <c r="B17" s="32">
        <f>('Balance Sheet'!B23)-(('Assumptions'!B38+'Income Statement'!B19))</f>
        <v>0.0</v>
      </c>
      <c r="C17" s="9" t="str">
        <f>IF(ABS(B17)&lt;0.5,"OK","CHECK")</f>
        <v>OK</v>
      </c>
    </row>
    <row r="18" spans="1:3">
      <c r="A18" s="9" t="s">
        <v>194</v>
      </c>
      <c r="B18" s="32">
        <f>('Balance Sheet'!C23)-(('Balance Sheet'!B23+'Income Statement'!C19))</f>
        <v>0.0</v>
      </c>
      <c r="C18" s="9" t="str">
        <f>IF(ABS(B18)&lt;0.5,"OK","CHECK")</f>
        <v>OK</v>
      </c>
    </row>
    <row r="19" spans="1:3">
      <c r="A19" s="9" t="s">
        <v>195</v>
      </c>
      <c r="B19" s="32">
        <f>('Balance Sheet'!D23)-(('Balance Sheet'!C23+'Income Statement'!D19))</f>
        <v>0.0</v>
      </c>
      <c r="C19" s="9" t="str">
        <f>IF(ABS(B19)&lt;0.5,"OK","CHECK")</f>
        <v>OK</v>
      </c>
    </row>
    <row r="20" spans="1:3">
      <c r="A20" s="9" t="s">
        <v>196</v>
      </c>
      <c r="B20" s="32">
        <f>('Balance Sheet'!B11)-(('Balance Sheet'!B7+'Balance Sheet'!B8+'Balance Sheet'!B9+'Balance Sheet'!B10))</f>
        <v>0.0</v>
      </c>
      <c r="C20" s="9" t="str">
        <f>IF(ABS(B20)&lt;0.5,"OK","CHECK")</f>
        <v>OK</v>
      </c>
    </row>
    <row r="21" spans="1:3">
      <c r="A21" s="9" t="s">
        <v>197</v>
      </c>
      <c r="B21" s="32">
        <f>('Balance Sheet'!C11)-(('Balance Sheet'!C7+'Balance Sheet'!C8+'Balance Sheet'!C9+'Balance Sheet'!C10))</f>
        <v>0.0</v>
      </c>
      <c r="C21" s="9" t="str">
        <f>IF(ABS(B21)&lt;0.5,"OK","CHECK")</f>
        <v>OK</v>
      </c>
    </row>
    <row r="22" spans="1:3">
      <c r="A22" s="9" t="s">
        <v>198</v>
      </c>
      <c r="B22" s="32">
        <f>('Balance Sheet'!D11)-(('Balance Sheet'!D7+'Balance Sheet'!D8+'Balance Sheet'!D9+'Balance Sheet'!D10))</f>
        <v>0.0</v>
      </c>
      <c r="C22" s="9" t="str">
        <f>IF(ABS(B22)&lt;0.5,"OK","CHECK")</f>
        <v>OK</v>
      </c>
    </row>
    <row r="23" spans="1:3">
      <c r="A23" s="9" t="s">
        <v>199</v>
      </c>
      <c r="B23" s="32">
        <f>('Balance Sheet'!B20)-((('Balance Sheet'!B17+'Balance Sheet'!B18)+'Balance Sheet'!B19))</f>
        <v>0.0</v>
      </c>
      <c r="C23" s="9" t="str">
        <f>IF(ABS(B23)&lt;0.5,"OK","CHECK")</f>
        <v>OK</v>
      </c>
    </row>
    <row r="24" spans="1:3">
      <c r="A24" s="9" t="s">
        <v>200</v>
      </c>
      <c r="B24" s="32">
        <f>('Balance Sheet'!C20)-((('Balance Sheet'!C17+'Balance Sheet'!C18)+'Balance Sheet'!C19))</f>
        <v>0.0</v>
      </c>
      <c r="C24" s="9" t="str">
        <f>IF(ABS(B24)&lt;0.5,"OK","CHECK")</f>
        <v>OK</v>
      </c>
    </row>
    <row r="25" spans="1:3">
      <c r="A25" s="9" t="s">
        <v>201</v>
      </c>
      <c r="B25" s="32">
        <f>('Balance Sheet'!D20)-((('Balance Sheet'!D17+'Balance Sheet'!D18)+'Balance Sheet'!D19))</f>
        <v>0.0</v>
      </c>
      <c r="C25" s="9" t="str">
        <f>IF(ABS(B25)&lt;0.5,"OK","CHECK")</f>
        <v>OK</v>
      </c>
    </row>
    <row r="26" spans="1:3">
      <c r="A26" s="9" t="s">
        <v>202</v>
      </c>
      <c r="B26" s="32">
        <f>('Margin Bridge'!B12)-(0)</f>
        <v>-3.637978807091713e-12</v>
      </c>
      <c r="C26" s="9" t="str">
        <f>IF(ABS(B26)&lt;0.5,"OK","CHECK")</f>
        <v>OK</v>
      </c>
    </row>
  </sheetData>
  <pageMargins left="0.7" right="0.7" top="0.75" bottom="0.75" header="0.3" footer="0.3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Cover</vt:lpstr>
      <vt:lpstr>Assumptions</vt:lpstr>
      <vt:lpstr>Income Statement</vt:lpstr>
      <vt:lpstr>Balance Sheet</vt:lpstr>
      <vt:lpstr>Cash Flow</vt:lpstr>
      <vt:lpstr>Ratios</vt:lpstr>
      <vt:lpstr>Variances</vt:lpstr>
      <vt:lpstr>Margin Bridge</vt:lpstr>
      <vt:lpstr>13 Week Cash</vt:lpstr>
      <vt:lpstr>Checks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Saltbrush Beverage Co. FY2025 Financial Model</dc:title>
  <dc:subject/>
  <dc:creator>George Murad</dc:creator>
  <cp:keywords/>
  <dc:description/>
  <cp:lastModifiedBy>George Murad</cp:lastModifiedBy>
  <dcterms:created xsi:type="dcterms:W3CDTF">2026-09-28T07:17:34Z</dcterms:created>
  <dcterms:modified xsi:type="dcterms:W3CDTF">2026-09-28T07:17:34Z</dcterms:modified>
</cp:coreProperties>
</file>