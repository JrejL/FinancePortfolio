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ssumptions" sheetId="2" r:id="rId2"/>
    <sheet name="Income Statement" sheetId="3" r:id="rId3"/>
    <sheet name="Balance Sheet" sheetId="4" r:id="rId4"/>
    <sheet name="Cash Flow" sheetId="5" r:id="rId5"/>
    <sheet name="Ratios" sheetId="6" r:id="rId6"/>
    <sheet name="EVM" sheetId="7" r:id="rId7"/>
    <sheet name="Contract" sheetId="8" r:id="rId8"/>
    <sheet name="Backlog" sheetId="9" r:id="rId9"/>
    <sheet name="Checks" sheetId="10" r:id="rId10"/>
  </sheets>
  <calcPr calcId="124519" fullCalcOnLoad="1"/>
</workbook>
</file>

<file path=xl/sharedStrings.xml><?xml version="1.0" encoding="utf-8"?>
<sst xmlns="http://schemas.openxmlformats.org/spreadsheetml/2006/main" count="262" uniqueCount="213">
  <si>
    <t>Aldercrest Aerospace, Inc.</t>
  </si>
  <si>
    <t>Composite wing and fuselage panels for defense aircraft programs</t>
  </si>
  <si>
    <t>Fiscal years covered: FY2023, FY2024, FY2025</t>
  </si>
  <si>
    <t>Industry: Aerospace and defense supplier</t>
  </si>
  <si>
    <t>Role fit: Program finance, Cost analysis, FP&amp;A</t>
  </si>
  <si>
    <t>Fictional company. All figures are illustrative and were built for this portfolio.</t>
  </si>
  <si>
    <t>Prepared by George Murad</t>
  </si>
  <si>
    <t>Contents</t>
  </si>
  <si>
    <t>Cover</t>
  </si>
  <si>
    <t>Assumptions</t>
  </si>
  <si>
    <t>Income Statement</t>
  </si>
  <si>
    <t>Balance Sheet</t>
  </si>
  <si>
    <t>Cash Flow</t>
  </si>
  <si>
    <t>Ratios</t>
  </si>
  <si>
    <t>EVM</t>
  </si>
  <si>
    <t>Contract</t>
  </si>
  <si>
    <t>Backlog</t>
  </si>
  <si>
    <t>Checks</t>
  </si>
  <si>
    <t>Color legend</t>
  </si>
  <si>
    <t>Hardcoded input</t>
  </si>
  <si>
    <t>Formula, same sheet</t>
  </si>
  <si>
    <t>Formula, pulls from another sheet</t>
  </si>
  <si>
    <t>($ in thousands)</t>
  </si>
  <si>
    <t>FY2023</t>
  </si>
  <si>
    <t>FY2024</t>
  </si>
  <si>
    <t>FY2025</t>
  </si>
  <si>
    <t>Total revenue</t>
  </si>
  <si>
    <t>Defense share of revenue</t>
  </si>
  <si>
    <t>Gross margin</t>
  </si>
  <si>
    <t>General and administrative, % of revenue</t>
  </si>
  <si>
    <t>Bid and proposal and IR&amp;D, % of revenue</t>
  </si>
  <si>
    <t>Selling, % of revenue</t>
  </si>
  <si>
    <t>Depreciation, % of beginning net PP&amp;E</t>
  </si>
  <si>
    <t>Amortization of intangibles, per year</t>
  </si>
  <si>
    <t>Capital expenditures</t>
  </si>
  <si>
    <t>Term loan, opening balance</t>
  </si>
  <si>
    <t>Term loan, annual repayment</t>
  </si>
  <si>
    <t>Term loan interest rate</t>
  </si>
  <si>
    <t>Revolver capacity</t>
  </si>
  <si>
    <t>Revolver interest rate</t>
  </si>
  <si>
    <t>Minimum cash</t>
  </si>
  <si>
    <t>Income tax rate</t>
  </si>
  <si>
    <t>Accounts receivable days</t>
  </si>
  <si>
    <t>Contract assets, % of revenue</t>
  </si>
  <si>
    <t>Inventory days</t>
  </si>
  <si>
    <t>Prepaid expenses, % of revenue</t>
  </si>
  <si>
    <t>Accounts payable days</t>
  </si>
  <si>
    <t>Accrued liabilities, % of revenue</t>
  </si>
  <si>
    <t>Contract liabilities, % of revenue</t>
  </si>
  <si>
    <t>Opening balance sheet FY2022: Cash</t>
  </si>
  <si>
    <t>Opening balance sheet FY2022: Accounts receivable</t>
  </si>
  <si>
    <t>Opening balance sheet FY2022: Contract assets</t>
  </si>
  <si>
    <t>Opening balance sheet FY2022: Inventory</t>
  </si>
  <si>
    <t>Opening balance sheet FY2022: Prepaid expenses</t>
  </si>
  <si>
    <t>Opening balance sheet FY2022: Property, plant and equipment, net</t>
  </si>
  <si>
    <t>Opening balance sheet FY2022: Intangible assets</t>
  </si>
  <si>
    <t>Opening balance sheet FY2022: Accounts payable</t>
  </si>
  <si>
    <t>Opening balance sheet FY2022: Accrued liabilities</t>
  </si>
  <si>
    <t>Opening balance sheet FY2022: Contract liabilities</t>
  </si>
  <si>
    <t>Opening balance sheet FY2022: Revolver</t>
  </si>
  <si>
    <t>Opening balance sheet FY2022: Term loan</t>
  </si>
  <si>
    <t>Opening balance sheet FY2022: Common stock and paid in capital</t>
  </si>
  <si>
    <t>Opening balance sheet FY2022: Retained earnings</t>
  </si>
  <si>
    <t>Bookings</t>
  </si>
  <si>
    <t>Backlog, start of FY2023</t>
  </si>
  <si>
    <t>($ in thousands)  For the years ended December 31</t>
  </si>
  <si>
    <t>Defense programs</t>
  </si>
  <si>
    <t>Commercial aerospace</t>
  </si>
  <si>
    <t>Cost of sales</t>
  </si>
  <si>
    <t>Gross profit</t>
  </si>
  <si>
    <t>General and administrative</t>
  </si>
  <si>
    <t>Bid and proposal and IR&amp;D</t>
  </si>
  <si>
    <t>Selling</t>
  </si>
  <si>
    <t>EBITDA</t>
  </si>
  <si>
    <t>Depreciation and amortization</t>
  </si>
  <si>
    <t>Operating income</t>
  </si>
  <si>
    <t>Interest expense</t>
  </si>
  <si>
    <t>Income before taxes</t>
  </si>
  <si>
    <t>Income tax expense</t>
  </si>
  <si>
    <t>Net income</t>
  </si>
  <si>
    <t>EBITDA margin</t>
  </si>
  <si>
    <t>($ in thousands)  As of December 31</t>
  </si>
  <si>
    <t>Assets</t>
  </si>
  <si>
    <t>Cash and cash equivalents</t>
  </si>
  <si>
    <t>Accounts receivable</t>
  </si>
  <si>
    <t>Contract assets (unbilled)</t>
  </si>
  <si>
    <t>Inventory</t>
  </si>
  <si>
    <t>Prepaid expenses</t>
  </si>
  <si>
    <t>Total current assets</t>
  </si>
  <si>
    <t>Property, plant and equipment, net</t>
  </si>
  <si>
    <t>Intangible assets</t>
  </si>
  <si>
    <t>Total assets</t>
  </si>
  <si>
    <t>Liabilities</t>
  </si>
  <si>
    <t>Accounts payable</t>
  </si>
  <si>
    <t>Accrued liabilities</t>
  </si>
  <si>
    <t>Contract liabilities (customer advances)</t>
  </si>
  <si>
    <t>Total current liabilities</t>
  </si>
  <si>
    <t>Revolver</t>
  </si>
  <si>
    <t>Term loan</t>
  </si>
  <si>
    <t>Total liabilities</t>
  </si>
  <si>
    <t>Equity</t>
  </si>
  <si>
    <t>Common stock and paid in capital</t>
  </si>
  <si>
    <t>Retained earnings</t>
  </si>
  <si>
    <t>Total equity</t>
  </si>
  <si>
    <t>Total liabilities and equity</t>
  </si>
  <si>
    <t>Cash Flow Statement</t>
  </si>
  <si>
    <t>(Increase) decrease in accounts receivable</t>
  </si>
  <si>
    <t>(Increase) decrease in contract assets</t>
  </si>
  <si>
    <t>(Increase) decrease in inventory</t>
  </si>
  <si>
    <t>(Increase) decrease in prepaid expenses</t>
  </si>
  <si>
    <t>Increase (decrease) in accounts payable</t>
  </si>
  <si>
    <t>Increase (decrease) in accrued liabilities</t>
  </si>
  <si>
    <t>Increase (decrease) in contract liabilities</t>
  </si>
  <si>
    <t>Cash from operating activities</t>
  </si>
  <si>
    <t>Cash from investing activities</t>
  </si>
  <si>
    <t>Term loan repayment</t>
  </si>
  <si>
    <t>Revolver draw (repayment)</t>
  </si>
  <si>
    <t>Cash from financing activities</t>
  </si>
  <si>
    <t>Net change in cash</t>
  </si>
  <si>
    <t>Beginning cash</t>
  </si>
  <si>
    <t>Ending cash</t>
  </si>
  <si>
    <t>Cash before revolver</t>
  </si>
  <si>
    <t>Operating margin</t>
  </si>
  <si>
    <t>Net margin</t>
  </si>
  <si>
    <t>Revenue growth</t>
  </si>
  <si>
    <t>Current ratio</t>
  </si>
  <si>
    <t>Debt to EBITDA</t>
  </si>
  <si>
    <t>Return on equity</t>
  </si>
  <si>
    <t>Days sales outstanding</t>
  </si>
  <si>
    <t>Days inventory outstanding</t>
  </si>
  <si>
    <t>Days payable outstanding</t>
  </si>
  <si>
    <t>Free cash flow</t>
  </si>
  <si>
    <t>FCF margin</t>
  </si>
  <si>
    <t>n/a</t>
  </si>
  <si>
    <t>Program ALX-7 earned value, FY2025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</si>
  <si>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</si>
  <si>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</si>
  <si>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</si>
  <si>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</si>
  <si>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</si>
  <si>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</si>
  <si>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</si>
  <si>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</si>
  <si>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</si>
  <si>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</si>
  <si>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</si>
  <si>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</si>
  <si>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Planned value (cumulative)</t>
  </si>
  <si>
    <t>Earned value (cumulative)</t>
  </si>
  <si>
    <t>Actual cost (cumulative)</t>
  </si>
  <si>
    <t>Cost variance (EV - AC)</t>
  </si>
  <si>
    <t>Schedule variance (EV - PV)</t>
  </si>
  <si>
    <t>Cost performance index (CPI)</t>
  </si>
  <si>
    <t>Schedule performance index (SPI)</t>
  </si>
  <si>
    <t>Value</t>
  </si>
  <si>
    <t>Budget at completion (BAC)</t>
  </si>
  <si>
    <t>Planned value</t>
  </si>
  <si>
    <t>Earned value</t>
  </si>
  <si>
    <t>Actual cost</t>
  </si>
  <si>
    <t>Cost variance (CV)</t>
  </si>
  <si>
    <t>Schedule variance (SV)</t>
  </si>
  <si>
    <t>EAC using CPI (BAC / CPI)</t>
  </si>
  <si>
    <t>EAC using CPI and SPI</t>
  </si>
  <si>
    <t>Estimate to complete</t>
  </si>
  <si>
    <t>Variance at completion (BAC - EAC)</t>
  </si>
  <si>
    <t>TCPI to BAC</t>
  </si>
  <si>
    <t>Percent complete (EV / BAC)</t>
  </si>
  <si>
    <t>Percent spent (AC / BAC)</t>
  </si>
  <si>
    <t>Fixed price incentive contract economics</t>
  </si>
  <si>
    <t>Target cost</t>
  </si>
  <si>
    <t>EAC using CPI</t>
  </si>
  <si>
    <t>Estimated cost</t>
  </si>
  <si>
    <t>Fee</t>
  </si>
  <si>
    <t>Price</t>
  </si>
  <si>
    <t>Profit rate</t>
  </si>
  <si>
    <t>Distance to PTA</t>
  </si>
  <si>
    <t>Below the point of total assumption</t>
  </si>
  <si>
    <t>Yes</t>
  </si>
  <si>
    <t>Point of total assumption (PTA)</t>
  </si>
  <si>
    <t>Backlog and book to bill</t>
  </si>
  <si>
    <t>Beginning backlog</t>
  </si>
  <si>
    <t>Revenue</t>
  </si>
  <si>
    <t>Ending backlog</t>
  </si>
  <si>
    <t>Book to bill</t>
  </si>
  <si>
    <t>Backlog coverage, years</t>
  </si>
  <si>
    <t>Overall status</t>
  </si>
  <si>
    <t>Check</t>
  </si>
  <si>
    <t>Difference</t>
  </si>
  <si>
    <t>Status</t>
  </si>
  <si>
    <t>Balance sheet balances, FY2023</t>
  </si>
  <si>
    <t>Balance sheet balances, FY2024</t>
  </si>
  <si>
    <t>Balance sheet balances, FY2025</t>
  </si>
  <si>
    <t>Cash flow ending cash = balance sheet cash, FY2023</t>
  </si>
  <si>
    <t>Cash flow ending cash = balance sheet cash, FY2024</t>
  </si>
  <si>
    <t>Cash flow ending cash = balance sheet cash, FY2025</t>
  </si>
  <si>
    <t>Net income ties, income statement to cash flow, FY2023</t>
  </si>
  <si>
    <t>Net income ties, income statement to cash flow, FY2024</t>
  </si>
  <si>
    <t>Net income ties, income statement to cash flow, FY2025</t>
  </si>
  <si>
    <t>Beginning cash equals prior year ending cash, FY2023</t>
  </si>
  <si>
    <t>Beginning cash equals prior year ending cash, FY2024</t>
  </si>
  <si>
    <t>Beginning cash equals prior year ending cash, FY2025</t>
  </si>
  <si>
    <t>Retained earnings rolls forward, FY2023</t>
  </si>
  <si>
    <t>Retained earnings rolls forward, FY2024</t>
  </si>
  <si>
    <t>Retained earnings rolls forward, FY2025</t>
  </si>
  <si>
    <t>Total revenue equals its components, FY2023</t>
  </si>
  <si>
    <t>Total revenue equals its components, FY2024</t>
  </si>
  <si>
    <t>Total revenue equals its components, FY2025</t>
  </si>
  <si>
    <t>Total current assets equals its components, FY2023</t>
  </si>
  <si>
    <t>Total current assets equals its components, FY2024</t>
  </si>
  <si>
    <t>Total current assets equals its components, FY2025</t>
  </si>
  <si>
    <t>Total liabilities equals its components, FY2023</t>
  </si>
  <si>
    <t>Total liabilities equals its components, FY2024</t>
  </si>
  <si>
    <t>Total liabilities equals its components, FY2025</t>
  </si>
</sst>
</file>

<file path=xl/styles.xml><?xml version="1.0" encoding="utf-8"?>
<styleSheet xmlns="http://schemas.openxmlformats.org/spreadsheetml/2006/main">
  <numFmts count="6">
    <numFmt numFmtId="164" formatCode="#,##0_);(#,##0);&quot;-&quot;_)"/>
    <numFmt numFmtId="165" formatCode="0.0%"/>
    <numFmt numFmtId="166" formatCode="0.00%"/>
    <numFmt numFmtId="167" formatCode="0.0"/>
    <numFmt numFmtId="168" formatCode="0.0&quot;x&quot;"/>
    <numFmt numFmtId="169" formatCode="0.00"/>
  </numFmts>
  <fonts count="14">
    <font>
      <sz val="11"/>
      <color theme="1"/>
      <name val="Calibri"/>
      <family val="2"/>
      <scheme val="minor"/>
    </font>
    <font>
      <b/>
      <sz val="16"/>
      <color rgb="FF141413"/>
      <name val="Arial"/>
      <family val="2"/>
    </font>
    <font>
      <sz val="10"/>
      <color rgb="FF141413"/>
      <name val="Georgia"/>
      <family val="2"/>
    </font>
    <font>
      <b/>
      <sz val="12"/>
      <color rgb="FF141413"/>
      <name val="Arial"/>
      <family val="2"/>
    </font>
    <font>
      <u/>
      <sz val="11"/>
      <color rgb="FF6A9BCC"/>
      <name val="Georgia"/>
      <family val="2"/>
    </font>
    <font>
      <sz val="10"/>
      <color rgb="FF0000FF"/>
      <name val="Georgia"/>
      <family val="2"/>
    </font>
    <font>
      <sz val="10"/>
      <color rgb="FF008000"/>
      <name val="Georgia"/>
      <family val="2"/>
    </font>
    <font>
      <i/>
      <sz val="9"/>
      <color rgb="FF141413"/>
      <name val="Georgia"/>
      <family val="2"/>
    </font>
    <font>
      <b/>
      <sz val="11"/>
      <color rgb="FFFAF9F5"/>
      <name val="Arial"/>
      <family val="2"/>
    </font>
    <font>
      <sz val="10"/>
      <color rgb="FF141413"/>
      <name val="Georgia"/>
      <family val="2"/>
    </font>
    <font>
      <sz val="10"/>
      <color rgb="FF008000"/>
      <name val="Georgia"/>
      <family val="2"/>
    </font>
    <font>
      <b/>
      <sz val="10"/>
      <color rgb="FF141413"/>
      <name val="Georgia"/>
      <family val="2"/>
    </font>
    <font>
      <b/>
      <sz val="10"/>
      <color rgb="FF000000"/>
      <name val="Georgia"/>
      <family val="2"/>
    </font>
    <font>
      <sz val="10"/>
      <color rgb="FF000000"/>
      <name val="Georgia"/>
      <family val="2"/>
    </font>
  </fonts>
  <fills count="3">
    <fill>
      <patternFill patternType="none"/>
    </fill>
    <fill>
      <patternFill patternType="gray125"/>
    </fill>
    <fill>
      <patternFill patternType="solid">
        <fgColor rgb="FF141413"/>
        <bgColor indexed="64"/>
      </patternFill>
    </fill>
  </fills>
  <borders count="3">
    <border>
      <left/>
      <right/>
      <top/>
      <bottom/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thin">
        <color rgb="FFB0AEA5"/>
      </bottom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double">
        <color rgb="FFB0AEA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4" fontId="10" fillId="0" borderId="1" xfId="0" applyNumberFormat="1" applyFont="1" applyBorder="1"/>
    <xf numFmtId="0" fontId="11" fillId="0" borderId="1" xfId="0" applyFont="1" applyBorder="1"/>
    <xf numFmtId="164" fontId="12" fillId="0" borderId="1" xfId="0" applyNumberFormat="1" applyFont="1" applyBorder="1"/>
    <xf numFmtId="0" fontId="11" fillId="0" borderId="2" xfId="0" applyFont="1" applyBorder="1"/>
    <xf numFmtId="164" fontId="12" fillId="0" borderId="2" xfId="0" applyNumberFormat="1" applyFont="1" applyBorder="1"/>
    <xf numFmtId="0" fontId="9" fillId="0" borderId="1" xfId="0" applyFont="1" applyBorder="1" applyAlignment="1">
      <alignment horizontal="left" indent="1"/>
    </xf>
    <xf numFmtId="165" fontId="13" fillId="0" borderId="1" xfId="0" applyNumberFormat="1" applyFont="1" applyBorder="1" applyAlignment="1">
      <alignment horizontal="left" indent="1"/>
    </xf>
    <xf numFmtId="164" fontId="10" fillId="0" borderId="1" xfId="0" applyNumberFormat="1" applyFont="1" applyBorder="1" applyAlignment="1">
      <alignment horizontal="left" indent="1"/>
    </xf>
    <xf numFmtId="0" fontId="11" fillId="0" borderId="1" xfId="0" applyFont="1" applyBorder="1" applyAlignment="1">
      <alignment horizontal="left" indent="1"/>
    </xf>
    <xf numFmtId="164" fontId="12" fillId="0" borderId="1" xfId="0" applyNumberFormat="1" applyFont="1" applyBorder="1" applyAlignment="1">
      <alignment horizontal="left" indent="1"/>
    </xf>
    <xf numFmtId="165" fontId="10" fillId="0" borderId="1" xfId="0" applyNumberFormat="1" applyFont="1" applyBorder="1"/>
    <xf numFmtId="168" fontId="10" fillId="0" borderId="1" xfId="0" applyNumberFormat="1" applyFont="1" applyBorder="1"/>
    <xf numFmtId="167" fontId="10" fillId="0" borderId="1" xfId="0" applyNumberFormat="1" applyFont="1" applyBorder="1"/>
    <xf numFmtId="164" fontId="13" fillId="0" borderId="1" xfId="0" applyNumberFormat="1" applyFont="1" applyBorder="1"/>
    <xf numFmtId="169" fontId="13" fillId="0" borderId="1" xfId="0" applyNumberFormat="1" applyFont="1" applyBorder="1"/>
    <xf numFmtId="165" fontId="13" fillId="0" borderId="1" xfId="0" applyNumberFormat="1" applyFont="1" applyBorder="1"/>
    <xf numFmtId="168" fontId="1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29"/>
  <sheetViews>
    <sheetView showGridLines="0" tabSelected="1" workbookViewId="0"/>
  </sheetViews>
  <sheetFormatPr defaultRowHeight="15"/>
  <cols>
    <col min="1" max="1" width="46.7109375" customWidth="1"/>
    <col min="2" max="2" width="60.7109375" customWidth="1"/>
  </cols>
  <sheetData>
    <row r="2" spans="1:1">
      <c r="A2" s="1" t="s">
        <v>0</v>
      </c>
    </row>
    <row r="4" spans="1:1">
      <c r="A4" s="2" t="s">
        <v>1</v>
      </c>
    </row>
    <row r="6" spans="1:1">
      <c r="A6" s="2" t="s">
        <v>2</v>
      </c>
    </row>
    <row r="8" spans="1:1">
      <c r="A8" s="2" t="s">
        <v>3</v>
      </c>
    </row>
    <row r="9" spans="1:1">
      <c r="A9" s="2" t="s">
        <v>4</v>
      </c>
    </row>
    <row r="11" spans="1:1">
      <c r="A11" s="2" t="s">
        <v>5</v>
      </c>
    </row>
    <row r="12" spans="1:1">
      <c r="A12" s="2" t="s">
        <v>6</v>
      </c>
    </row>
    <row r="14" spans="1:1">
      <c r="A14" s="3" t="s">
        <v>7</v>
      </c>
    </row>
    <row r="15" spans="1:1">
      <c r="A15" s="4" t="s">
        <v>8</v>
      </c>
    </row>
    <row r="16" spans="1:1">
      <c r="A16" s="4" t="s">
        <v>9</v>
      </c>
    </row>
    <row r="17" spans="1:1">
      <c r="A17" s="4" t="s">
        <v>10</v>
      </c>
    </row>
    <row r="18" spans="1:1">
      <c r="A18" s="4" t="s">
        <v>11</v>
      </c>
    </row>
    <row r="19" spans="1:1">
      <c r="A19" s="4" t="s">
        <v>12</v>
      </c>
    </row>
    <row r="20" spans="1:1">
      <c r="A20" s="4" t="s">
        <v>13</v>
      </c>
    </row>
    <row r="21" spans="1:1">
      <c r="A21" s="4" t="s">
        <v>14</v>
      </c>
    </row>
    <row r="22" spans="1:1">
      <c r="A22" s="4" t="s">
        <v>15</v>
      </c>
    </row>
    <row r="23" spans="1:1">
      <c r="A23" s="4" t="s">
        <v>16</v>
      </c>
    </row>
    <row r="24" spans="1:1">
      <c r="A24" s="4" t="s">
        <v>17</v>
      </c>
    </row>
    <row r="26" spans="1:1">
      <c r="A26" s="3" t="s">
        <v>18</v>
      </c>
    </row>
    <row r="27" spans="1:1">
      <c r="A27" s="5" t="s">
        <v>19</v>
      </c>
    </row>
    <row r="28" spans="1:1">
      <c r="A28" s="2" t="s">
        <v>20</v>
      </c>
    </row>
    <row r="29" spans="1:1">
      <c r="A29" s="6" t="s">
        <v>21</v>
      </c>
    </row>
  </sheetData>
  <hyperlinks>
    <hyperlink ref="A15" location="'Cover'!A1" display="Cover"/>
    <hyperlink ref="A16" location="'Assumptions'!A1" display="Assumptions"/>
    <hyperlink ref="A17" location="'Income Statement'!A1" display="Income Statement"/>
    <hyperlink ref="A18" location="'Balance Sheet'!A1" display="Balance Sheet"/>
    <hyperlink ref="A19" location="'Cash Flow'!A1" display="Cash Flow"/>
    <hyperlink ref="A20" location="'Ratios'!A1" display="Ratios"/>
    <hyperlink ref="A21" location="'EVM'!A1" display="EVM"/>
    <hyperlink ref="A22" location="'Contract'!A1" display="Contract"/>
    <hyperlink ref="A23" location="'Backlog'!A1" display="Backlog"/>
    <hyperlink ref="A24" location="'Checks'!A1" display="Check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9</v>
      </c>
    </row>
    <row r="3" spans="1:4">
      <c r="A3" s="7" t="s">
        <v>22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26</v>
      </c>
      <c r="B6" s="10">
        <v>142600</v>
      </c>
      <c r="C6" s="10">
        <v>163900</v>
      </c>
      <c r="D6" s="10">
        <v>184250</v>
      </c>
    </row>
    <row r="7" spans="1:4">
      <c r="A7" s="9" t="s">
        <v>27</v>
      </c>
      <c r="B7" s="11">
        <v>0.72</v>
      </c>
      <c r="C7" s="11">
        <v>0.74</v>
      </c>
      <c r="D7" s="11">
        <v>0.76</v>
      </c>
    </row>
    <row r="8" spans="1:4">
      <c r="A8" s="9" t="s">
        <v>28</v>
      </c>
      <c r="B8" s="11">
        <v>0.215</v>
      </c>
      <c r="C8" s="11">
        <v>0.22</v>
      </c>
      <c r="D8" s="11">
        <v>0.206</v>
      </c>
    </row>
    <row r="9" spans="1:4">
      <c r="A9" s="9" t="s">
        <v>29</v>
      </c>
      <c r="B9" s="11">
        <v>0.052</v>
      </c>
    </row>
    <row r="10" spans="1:4">
      <c r="A10" s="9" t="s">
        <v>30</v>
      </c>
      <c r="B10" s="11">
        <v>0.018</v>
      </c>
    </row>
    <row r="11" spans="1:4">
      <c r="A11" s="9" t="s">
        <v>31</v>
      </c>
      <c r="B11" s="11">
        <v>0.01</v>
      </c>
    </row>
    <row r="12" spans="1:4">
      <c r="A12" s="9" t="s">
        <v>32</v>
      </c>
      <c r="B12" s="12">
        <v>0.12</v>
      </c>
    </row>
    <row r="13" spans="1:4">
      <c r="A13" s="9" t="s">
        <v>33</v>
      </c>
      <c r="B13" s="10">
        <v>800</v>
      </c>
    </row>
    <row r="14" spans="1:4">
      <c r="A14" s="9" t="s">
        <v>34</v>
      </c>
      <c r="B14" s="10">
        <v>9800</v>
      </c>
      <c r="C14" s="10">
        <v>12400</v>
      </c>
      <c r="D14" s="10">
        <v>14100</v>
      </c>
    </row>
    <row r="15" spans="1:4">
      <c r="A15" s="9" t="s">
        <v>35</v>
      </c>
      <c r="B15" s="10">
        <v>44000</v>
      </c>
    </row>
    <row r="16" spans="1:4">
      <c r="A16" s="9" t="s">
        <v>36</v>
      </c>
      <c r="B16" s="10">
        <v>4000</v>
      </c>
    </row>
    <row r="17" spans="1:4">
      <c r="A17" s="9" t="s">
        <v>37</v>
      </c>
      <c r="B17" s="12">
        <v>0.0725</v>
      </c>
    </row>
    <row r="18" spans="1:4">
      <c r="A18" s="9" t="s">
        <v>38</v>
      </c>
      <c r="B18" s="10">
        <v>25000</v>
      </c>
    </row>
    <row r="19" spans="1:4">
      <c r="A19" s="9" t="s">
        <v>39</v>
      </c>
      <c r="B19" s="12">
        <v>0.08</v>
      </c>
    </row>
    <row r="20" spans="1:4">
      <c r="A20" s="9" t="s">
        <v>40</v>
      </c>
      <c r="B20" s="10">
        <v>8000</v>
      </c>
    </row>
    <row r="21" spans="1:4">
      <c r="A21" s="9" t="s">
        <v>41</v>
      </c>
      <c r="B21" s="12">
        <v>0.24</v>
      </c>
    </row>
    <row r="22" spans="1:4">
      <c r="A22" s="9" t="s">
        <v>42</v>
      </c>
      <c r="B22" s="13">
        <v>48</v>
      </c>
    </row>
    <row r="23" spans="1:4">
      <c r="A23" s="9" t="s">
        <v>43</v>
      </c>
      <c r="B23" s="11">
        <v>0.11</v>
      </c>
      <c r="C23" s="11">
        <v>0.115</v>
      </c>
      <c r="D23" s="11">
        <v>0.125</v>
      </c>
    </row>
    <row r="24" spans="1:4">
      <c r="A24" s="9" t="s">
        <v>44</v>
      </c>
      <c r="B24" s="13">
        <v>62</v>
      </c>
    </row>
    <row r="25" spans="1:4">
      <c r="A25" s="9" t="s">
        <v>45</v>
      </c>
      <c r="B25" s="11">
        <v>0.013</v>
      </c>
    </row>
    <row r="26" spans="1:4">
      <c r="A26" s="9" t="s">
        <v>46</v>
      </c>
      <c r="B26" s="13">
        <v>41</v>
      </c>
    </row>
    <row r="27" spans="1:4">
      <c r="A27" s="9" t="s">
        <v>47</v>
      </c>
      <c r="B27" s="11">
        <v>0.055</v>
      </c>
    </row>
    <row r="28" spans="1:4">
      <c r="A28" s="9" t="s">
        <v>48</v>
      </c>
      <c r="B28" s="11">
        <v>0.03</v>
      </c>
    </row>
    <row r="29" spans="1:4">
      <c r="A29" s="9" t="s">
        <v>49</v>
      </c>
      <c r="B29" s="10">
        <v>9500</v>
      </c>
    </row>
    <row r="30" spans="1:4">
      <c r="A30" s="9" t="s">
        <v>50</v>
      </c>
      <c r="B30" s="10">
        <v>17000</v>
      </c>
    </row>
    <row r="31" spans="1:4">
      <c r="A31" s="9" t="s">
        <v>51</v>
      </c>
      <c r="B31" s="10">
        <v>14500</v>
      </c>
    </row>
    <row r="32" spans="1:4">
      <c r="A32" s="9" t="s">
        <v>52</v>
      </c>
      <c r="B32" s="10">
        <v>20000</v>
      </c>
    </row>
    <row r="33" spans="1:4">
      <c r="A33" s="9" t="s">
        <v>53</v>
      </c>
      <c r="B33" s="10">
        <v>1800</v>
      </c>
    </row>
    <row r="34" spans="1:4">
      <c r="A34" s="9" t="s">
        <v>54</v>
      </c>
      <c r="B34" s="10">
        <v>62000</v>
      </c>
    </row>
    <row r="35" spans="1:4">
      <c r="A35" s="9" t="s">
        <v>55</v>
      </c>
      <c r="B35" s="10">
        <v>8000</v>
      </c>
    </row>
    <row r="36" spans="1:4">
      <c r="A36" s="9" t="s">
        <v>56</v>
      </c>
      <c r="B36" s="10">
        <v>12400</v>
      </c>
    </row>
    <row r="37" spans="1:4">
      <c r="A37" s="9" t="s">
        <v>57</v>
      </c>
      <c r="B37" s="10">
        <v>7300</v>
      </c>
    </row>
    <row r="38" spans="1:4">
      <c r="A38" s="9" t="s">
        <v>58</v>
      </c>
      <c r="B38" s="10">
        <v>3900</v>
      </c>
    </row>
    <row r="39" spans="1:4">
      <c r="A39" s="9" t="s">
        <v>59</v>
      </c>
      <c r="B39" s="10">
        <v>0</v>
      </c>
    </row>
    <row r="40" spans="1:4">
      <c r="A40" s="9" t="s">
        <v>60</v>
      </c>
      <c r="B40" s="10">
        <v>44000</v>
      </c>
    </row>
    <row r="41" spans="1:4">
      <c r="A41" s="9" t="s">
        <v>61</v>
      </c>
      <c r="B41" s="10">
        <v>25000</v>
      </c>
    </row>
    <row r="42" spans="1:4">
      <c r="A42" s="9" t="s">
        <v>62</v>
      </c>
      <c r="B42" s="10">
        <v>40200</v>
      </c>
    </row>
    <row r="43" spans="1:4">
      <c r="A43" s="9" t="s">
        <v>63</v>
      </c>
      <c r="B43" s="10">
        <v>168400</v>
      </c>
      <c r="C43" s="10">
        <v>181200</v>
      </c>
      <c r="D43" s="10">
        <v>171900</v>
      </c>
    </row>
    <row r="44" spans="1:4">
      <c r="A44" s="9" t="s">
        <v>64</v>
      </c>
      <c r="B44" s="10">
        <v>285000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10</v>
      </c>
    </row>
    <row r="3" spans="1:4">
      <c r="A3" s="7" t="s">
        <v>65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66</v>
      </c>
      <c r="B6" s="14">
        <f>('Assumptions'!B6*'Assumptions'!B7)</f>
        <v>102672.0</v>
      </c>
      <c r="C6" s="14">
        <f>('Assumptions'!C6*'Assumptions'!C7)</f>
        <v>121286.0</v>
      </c>
      <c r="D6" s="14">
        <f>('Assumptions'!D6*'Assumptions'!D7)</f>
        <v>140030.0</v>
      </c>
    </row>
    <row r="7" spans="1:4">
      <c r="A7" s="9" t="s">
        <v>67</v>
      </c>
      <c r="B7" s="14">
        <f>('Assumptions'!B6*(1-'Assumptions'!B7))</f>
        <v>39928.00000000001</v>
      </c>
      <c r="C7" s="14">
        <f>('Assumptions'!C6*(1-'Assumptions'!C7))</f>
        <v>42614.0</v>
      </c>
      <c r="D7" s="14">
        <f>('Assumptions'!D6*(1-'Assumptions'!D7))</f>
        <v>44220.0</v>
      </c>
    </row>
    <row r="8" spans="1:4">
      <c r="A8" s="15" t="s">
        <v>26</v>
      </c>
      <c r="B8" s="16">
        <f>(B6+B7)</f>
        <v>142600.0</v>
      </c>
      <c r="C8" s="16">
        <f>(C6+C7)</f>
        <v>163900.0</v>
      </c>
      <c r="D8" s="16">
        <f>(D6+D7)</f>
        <v>184250.0</v>
      </c>
    </row>
    <row r="9" spans="1:4">
      <c r="A9" s="9" t="s">
        <v>68</v>
      </c>
      <c r="B9" s="14">
        <f>(B8*(1-'Assumptions'!B8))</f>
        <v>111941.0</v>
      </c>
      <c r="C9" s="14">
        <f>(C8*(1-'Assumptions'!C8))</f>
        <v>127842.0</v>
      </c>
      <c r="D9" s="14">
        <f>(D8*(1-'Assumptions'!D8))</f>
        <v>146294.5</v>
      </c>
    </row>
    <row r="10" spans="1:4">
      <c r="A10" s="15" t="s">
        <v>69</v>
      </c>
      <c r="B10" s="16">
        <f>(B8-B9)</f>
        <v>30659.0</v>
      </c>
      <c r="C10" s="16">
        <f>(C8-C9)</f>
        <v>36058.0</v>
      </c>
      <c r="D10" s="16">
        <f>(D8-D9)</f>
        <v>37955.5</v>
      </c>
    </row>
    <row r="11" spans="1:4">
      <c r="A11" s="9" t="s">
        <v>70</v>
      </c>
      <c r="B11" s="14">
        <f>(B8*'Assumptions'!B9)</f>
        <v>7415.2</v>
      </c>
      <c r="C11" s="14">
        <f>(C8*'Assumptions'!B9)</f>
        <v>8522.8</v>
      </c>
      <c r="D11" s="14">
        <f>(D8*'Assumptions'!B9)</f>
        <v>9581.0</v>
      </c>
    </row>
    <row r="12" spans="1:4">
      <c r="A12" s="9" t="s">
        <v>71</v>
      </c>
      <c r="B12" s="14">
        <f>(B8*'Assumptions'!B10)</f>
        <v>2566.7999999999997</v>
      </c>
      <c r="C12" s="14">
        <f>(C8*'Assumptions'!B10)</f>
        <v>2950.2</v>
      </c>
      <c r="D12" s="14">
        <f>(D8*'Assumptions'!B10)</f>
        <v>3316.4999999999995</v>
      </c>
    </row>
    <row r="13" spans="1:4">
      <c r="A13" s="9" t="s">
        <v>72</v>
      </c>
      <c r="B13" s="14">
        <f>(B8*'Assumptions'!B11)</f>
        <v>1426.0</v>
      </c>
      <c r="C13" s="14">
        <f>(C8*'Assumptions'!B11)</f>
        <v>1639.0</v>
      </c>
      <c r="D13" s="14">
        <f>(D8*'Assumptions'!B11)</f>
        <v>1842.5</v>
      </c>
    </row>
    <row r="14" spans="1:4">
      <c r="A14" s="15" t="s">
        <v>73</v>
      </c>
      <c r="B14" s="16">
        <f>(((B10-B11)-B12)-B13)</f>
        <v>19251.0</v>
      </c>
      <c r="C14" s="16">
        <f>(((C10-C11)-C12)-C13)</f>
        <v>22946.0</v>
      </c>
      <c r="D14" s="16">
        <f>(((D10-D11)-D12)-D13)</f>
        <v>23215.5</v>
      </c>
    </row>
    <row r="15" spans="1:4">
      <c r="A15" s="9" t="s">
        <v>74</v>
      </c>
      <c r="B15" s="14">
        <f>(('Assumptions'!B34*'Assumptions'!B12)+'Assumptions'!B13)</f>
        <v>8240.0</v>
      </c>
      <c r="C15" s="14">
        <f>(('Balance Sheet'!B13*'Assumptions'!B12)+'Assumptions'!B13)</f>
        <v>8523.2</v>
      </c>
      <c r="D15" s="14">
        <f>(('Balance Sheet'!C13*'Assumptions'!B12)+'Assumptions'!B13)</f>
        <v>9084.416</v>
      </c>
    </row>
    <row r="16" spans="1:4">
      <c r="A16" s="15" t="s">
        <v>75</v>
      </c>
      <c r="B16" s="16">
        <f>(B14-B15)</f>
        <v>11011.0</v>
      </c>
      <c r="C16" s="16">
        <f>(C14-C15)</f>
        <v>14422.8</v>
      </c>
      <c r="D16" s="16">
        <f>(D14-D15)</f>
        <v>14131.084</v>
      </c>
    </row>
    <row r="17" spans="1:4">
      <c r="A17" s="9" t="s">
        <v>76</v>
      </c>
      <c r="B17" s="14">
        <f>(('Assumptions'!B40*'Assumptions'!B17)+('Assumptions'!B39*'Assumptions'!B19))</f>
        <v>3190.0</v>
      </c>
      <c r="C17" s="14">
        <f>(('Balance Sheet'!B22*'Assumptions'!B17)+('Balance Sheet'!B21*'Assumptions'!B19))</f>
        <v>2900.0</v>
      </c>
      <c r="D17" s="14">
        <f>(('Balance Sheet'!C22*'Assumptions'!B17)+('Balance Sheet'!C21*'Assumptions'!B19))</f>
        <v>2889.398220273973</v>
      </c>
    </row>
    <row r="18" spans="1:4">
      <c r="A18" s="15" t="s">
        <v>77</v>
      </c>
      <c r="B18" s="16">
        <f>(B16-B17)</f>
        <v>7821.0</v>
      </c>
      <c r="C18" s="16">
        <f>(C16-C17)</f>
        <v>11522.8</v>
      </c>
      <c r="D18" s="16">
        <f>(D16-D17)</f>
        <v>11241.685779726027</v>
      </c>
    </row>
    <row r="19" spans="1:4">
      <c r="A19" s="9" t="s">
        <v>78</v>
      </c>
      <c r="B19" s="14">
        <f>MAX(0,(B18*'Assumptions'!B21))</f>
        <v>1877.04</v>
      </c>
      <c r="C19" s="14">
        <f>MAX(0,(C18*'Assumptions'!B21))</f>
        <v>2765.4719999999998</v>
      </c>
      <c r="D19" s="14">
        <f>MAX(0,(D18*'Assumptions'!B21))</f>
        <v>2698.0045871342463</v>
      </c>
    </row>
    <row r="20" spans="1:4">
      <c r="A20" s="17" t="s">
        <v>79</v>
      </c>
      <c r="B20" s="18">
        <f>(B18-B19)</f>
        <v>5943.96</v>
      </c>
      <c r="C20" s="18">
        <f>(C18-C19)</f>
        <v>8757.328</v>
      </c>
      <c r="D20" s="18">
        <f>(D18-D19)</f>
        <v>8543.681192591781</v>
      </c>
    </row>
    <row r="21" spans="1:4">
      <c r="A21" s="19" t="s">
        <v>28</v>
      </c>
      <c r="B21" s="20">
        <f>(B10/B8)</f>
        <v>0.215</v>
      </c>
      <c r="C21" s="20">
        <f>(C10/C8)</f>
        <v>0.22</v>
      </c>
      <c r="D21" s="20">
        <f>(D10/D8)</f>
        <v>0.206</v>
      </c>
    </row>
    <row r="22" spans="1:4">
      <c r="A22" s="19" t="s">
        <v>80</v>
      </c>
      <c r="B22" s="20">
        <f>(B14/B8)</f>
        <v>0.135</v>
      </c>
      <c r="C22" s="20">
        <f>(C14/C8)</f>
        <v>0.14</v>
      </c>
      <c r="D22" s="20">
        <f>(D14/D8)</f>
        <v>0.126</v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11</v>
      </c>
    </row>
    <row r="3" spans="1:4">
      <c r="A3" s="7" t="s">
        <v>81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15" t="s">
        <v>82</v>
      </c>
      <c r="B6" s="9"/>
      <c r="C6" s="9"/>
      <c r="D6" s="9"/>
    </row>
    <row r="7" spans="1:4">
      <c r="A7" s="19" t="s">
        <v>83</v>
      </c>
      <c r="B7" s="21">
        <f>'Cash Flow'!B23</f>
        <v>8971.84219178082</v>
      </c>
      <c r="C7" s="21">
        <f>'Cash Flow'!C23</f>
        <v>8000.0</v>
      </c>
      <c r="D7" s="21">
        <f>'Cash Flow'!D23</f>
        <v>8000.0</v>
      </c>
    </row>
    <row r="8" spans="1:4">
      <c r="A8" s="19" t="s">
        <v>84</v>
      </c>
      <c r="B8" s="21">
        <f>(('Income Statement'!B8*'Assumptions'!B22)/365)</f>
        <v>18752.87671232877</v>
      </c>
      <c r="C8" s="21">
        <f>(('Income Statement'!C8*'Assumptions'!B22)/365)</f>
        <v>21553.972602739726</v>
      </c>
      <c r="D8" s="21">
        <f>(('Income Statement'!D8*'Assumptions'!B22)/365)</f>
        <v>24230.13698630137</v>
      </c>
    </row>
    <row r="9" spans="1:4">
      <c r="A9" s="19" t="s">
        <v>85</v>
      </c>
      <c r="B9" s="21">
        <f>('Income Statement'!B8*'Assumptions'!B23)</f>
        <v>15686.0</v>
      </c>
      <c r="C9" s="21">
        <f>('Income Statement'!C8*'Assumptions'!C23)</f>
        <v>18848.5</v>
      </c>
      <c r="D9" s="21">
        <f>('Income Statement'!D8*'Assumptions'!D23)</f>
        <v>23031.25</v>
      </c>
    </row>
    <row r="10" spans="1:4">
      <c r="A10" s="19" t="s">
        <v>86</v>
      </c>
      <c r="B10" s="21">
        <f>(('Income Statement'!B9*'Assumptions'!B24)/365)</f>
        <v>19014.635616438358</v>
      </c>
      <c r="C10" s="21">
        <f>(('Income Statement'!C9*'Assumptions'!B24)/365)</f>
        <v>21715.627397260276</v>
      </c>
      <c r="D10" s="21">
        <f>(('Income Statement'!D9*'Assumptions'!B24)/365)</f>
        <v>24850.024657534246</v>
      </c>
    </row>
    <row r="11" spans="1:4">
      <c r="A11" s="19" t="s">
        <v>87</v>
      </c>
      <c r="B11" s="21">
        <f>('Income Statement'!B8*'Assumptions'!B25)</f>
        <v>1853.8</v>
      </c>
      <c r="C11" s="21">
        <f>('Income Statement'!C8*'Assumptions'!B25)</f>
        <v>2130.7</v>
      </c>
      <c r="D11" s="21">
        <f>('Income Statement'!D8*'Assumptions'!B25)</f>
        <v>2395.25</v>
      </c>
    </row>
    <row r="12" spans="1:4">
      <c r="A12" s="22" t="s">
        <v>88</v>
      </c>
      <c r="B12" s="23">
        <f>(B7+B8+B9+B10+B11)</f>
        <v>64279.15452054795</v>
      </c>
      <c r="C12" s="23">
        <f>(C7+C8+C9+C10+C11)</f>
        <v>72248.8</v>
      </c>
      <c r="D12" s="23">
        <f>(D7+D8+D9+D10+D11)</f>
        <v>82506.66164383561</v>
      </c>
    </row>
    <row r="13" spans="1:4">
      <c r="A13" s="19" t="s">
        <v>89</v>
      </c>
      <c r="B13" s="21">
        <f>(('Assumptions'!B34+'Assumptions'!B14)-('Income Statement'!B15-'Assumptions'!B13))</f>
        <v>64360.0</v>
      </c>
      <c r="C13" s="21">
        <f>(('Balance Sheet'!B13+'Assumptions'!C14)-('Income Statement'!C15-'Assumptions'!B13))</f>
        <v>69036.8</v>
      </c>
      <c r="D13" s="21">
        <f>(('Balance Sheet'!C13+'Assumptions'!D14)-('Income Statement'!D15-'Assumptions'!B13))</f>
        <v>74852.384</v>
      </c>
    </row>
    <row r="14" spans="1:4">
      <c r="A14" s="19" t="s">
        <v>90</v>
      </c>
      <c r="B14" s="21">
        <f>('Assumptions'!B35-'Assumptions'!B13)</f>
        <v>7200.0</v>
      </c>
      <c r="C14" s="21">
        <f>(B14-'Assumptions'!B13)</f>
        <v>6400.0</v>
      </c>
      <c r="D14" s="21">
        <f>(C14-'Assumptions'!B13)</f>
        <v>5600.0</v>
      </c>
    </row>
    <row r="15" spans="1:4">
      <c r="A15" s="17" t="s">
        <v>91</v>
      </c>
      <c r="B15" s="18">
        <f>((B12+B13)+B14)</f>
        <v>135839.15452054795</v>
      </c>
      <c r="C15" s="18">
        <f>((C12+C13)+C14)</f>
        <v>147685.6</v>
      </c>
      <c r="D15" s="18">
        <f>((D12+D13)+D14)</f>
        <v>162959.04564383562</v>
      </c>
    </row>
    <row r="16" spans="1:4">
      <c r="A16" s="15" t="s">
        <v>92</v>
      </c>
      <c r="B16" s="9"/>
      <c r="C16" s="9"/>
      <c r="D16" s="9"/>
    </row>
    <row r="17" spans="1:4">
      <c r="A17" s="19" t="s">
        <v>93</v>
      </c>
      <c r="B17" s="21">
        <f>(('Income Statement'!B9*'Assumptions'!B26)/365)</f>
        <v>12574.194520547946</v>
      </c>
      <c r="C17" s="21">
        <f>(('Income Statement'!C9*'Assumptions'!B26)/365)</f>
        <v>14360.334246575343</v>
      </c>
      <c r="D17" s="21">
        <f>(('Income Statement'!D9*'Assumptions'!B26)/365)</f>
        <v>16433.080821917807</v>
      </c>
    </row>
    <row r="18" spans="1:4">
      <c r="A18" s="19" t="s">
        <v>94</v>
      </c>
      <c r="B18" s="21">
        <f>('Income Statement'!B8*'Assumptions'!B27)</f>
        <v>7843.0</v>
      </c>
      <c r="C18" s="21">
        <f>('Income Statement'!C8*'Assumptions'!B27)</f>
        <v>9014.5</v>
      </c>
      <c r="D18" s="21">
        <f>('Income Statement'!D8*'Assumptions'!B27)</f>
        <v>10133.75</v>
      </c>
    </row>
    <row r="19" spans="1:4">
      <c r="A19" s="19" t="s">
        <v>95</v>
      </c>
      <c r="B19" s="21">
        <f>('Income Statement'!B8*'Assumptions'!B28)</f>
        <v>4278.0</v>
      </c>
      <c r="C19" s="21">
        <f>('Income Statement'!C8*'Assumptions'!B28)</f>
        <v>4917.0</v>
      </c>
      <c r="D19" s="21">
        <f>('Income Statement'!D8*'Assumptions'!B28)</f>
        <v>5527.5</v>
      </c>
    </row>
    <row r="20" spans="1:4">
      <c r="A20" s="22" t="s">
        <v>96</v>
      </c>
      <c r="B20" s="23">
        <f>(B17+B18+B19)</f>
        <v>24695.194520547946</v>
      </c>
      <c r="C20" s="23">
        <f>(C17+C18+C19)</f>
        <v>28291.834246575345</v>
      </c>
      <c r="D20" s="23">
        <f>(D17+D18+D19)</f>
        <v>32094.330821917807</v>
      </c>
    </row>
    <row r="21" spans="1:4">
      <c r="A21" s="19" t="s">
        <v>97</v>
      </c>
      <c r="B21" s="21">
        <f>(('Assumptions'!B39+MAX(0,MIN(('Assumptions'!B20-((('Assumptions'!B29+'Cash Flow'!B15)+'Cash Flow'!B17)+'Cash Flow'!B18)),('Assumptions'!B18-'Assumptions'!B39))))-MAX(0,MIN('Assumptions'!B39,(((('Assumptions'!B29+'Cash Flow'!B15)+'Cash Flow'!B17)+'Cash Flow'!B18)-'Assumptions'!B20))))</f>
        <v>0.0</v>
      </c>
      <c r="C21" s="21">
        <f>(('Balance Sheet'!B21+MAX(0,MIN(('Assumptions'!B20-((('Balance Sheet'!B7+'Cash Flow'!C15)+'Cash Flow'!C17)+'Cash Flow'!C18)),('Assumptions'!B18-'Balance Sheet'!B21))))-MAX(0,MIN('Balance Sheet'!B21,(((('Balance Sheet'!B7+'Cash Flow'!C15)+'Cash Flow'!C17)+'Cash Flow'!C18)-'Assumptions'!B20))))</f>
        <v>3492.4777534246605</v>
      </c>
      <c r="D21" s="21">
        <f>(('Balance Sheet'!C21+MAX(0,MIN(('Assumptions'!B20-((('Balance Sheet'!C7+'Cash Flow'!D15)+'Cash Flow'!D17)+'Cash Flow'!D18)),('Assumptions'!B18-'Balance Sheet'!C21))))-MAX(0,MIN('Balance Sheet'!C21,(((('Balance Sheet'!C7+'Cash Flow'!D15)+'Cash Flow'!D17)+'Cash Flow'!D18)-'Assumptions'!B20))))</f>
        <v>10419.745629326033</v>
      </c>
    </row>
    <row r="22" spans="1:4">
      <c r="A22" s="19" t="s">
        <v>98</v>
      </c>
      <c r="B22" s="21">
        <f>('Assumptions'!B40-'Assumptions'!B16)</f>
        <v>40000.0</v>
      </c>
      <c r="C22" s="21">
        <f>('Balance Sheet'!B22-'Assumptions'!B16)</f>
        <v>36000.0</v>
      </c>
      <c r="D22" s="21">
        <f>('Balance Sheet'!C22-'Assumptions'!B16)</f>
        <v>32000.0</v>
      </c>
    </row>
    <row r="23" spans="1:4">
      <c r="A23" s="15" t="s">
        <v>99</v>
      </c>
      <c r="B23" s="16">
        <f>((B20+B21)+B22)</f>
        <v>64695.19452054794</v>
      </c>
      <c r="C23" s="16">
        <f>((C20+C21)+C22)</f>
        <v>67784.312</v>
      </c>
      <c r="D23" s="16">
        <f>((D20+D21)+D22)</f>
        <v>74514.07645124383</v>
      </c>
    </row>
    <row r="24" spans="1:4">
      <c r="A24" s="15" t="s">
        <v>100</v>
      </c>
      <c r="B24" s="9"/>
      <c r="C24" s="9"/>
      <c r="D24" s="9"/>
    </row>
    <row r="25" spans="1:4">
      <c r="A25" s="19" t="s">
        <v>101</v>
      </c>
      <c r="B25" s="21">
        <f>'Assumptions'!B41</f>
        <v>25000.0</v>
      </c>
      <c r="C25" s="21">
        <f>'Assumptions'!B41</f>
        <v>25000.0</v>
      </c>
      <c r="D25" s="21">
        <f>'Assumptions'!B41</f>
        <v>25000.0</v>
      </c>
    </row>
    <row r="26" spans="1:4">
      <c r="A26" s="19" t="s">
        <v>102</v>
      </c>
      <c r="B26" s="21">
        <f>('Assumptions'!B42+'Income Statement'!B20)</f>
        <v>46143.96</v>
      </c>
      <c r="C26" s="21">
        <f>(B26+'Income Statement'!C20)</f>
        <v>54901.288</v>
      </c>
      <c r="D26" s="21">
        <f>(C26+'Income Statement'!D20)</f>
        <v>63444.96919259178</v>
      </c>
    </row>
    <row r="27" spans="1:4">
      <c r="A27" s="15" t="s">
        <v>103</v>
      </c>
      <c r="B27" s="16">
        <f>(B25+B26)</f>
        <v>71143.95999999999</v>
      </c>
      <c r="C27" s="16">
        <f>(C25+C26)</f>
        <v>79901.288</v>
      </c>
      <c r="D27" s="16">
        <f>(D25+D26)</f>
        <v>88444.96919259179</v>
      </c>
    </row>
    <row r="28" spans="1:4">
      <c r="A28" s="17" t="s">
        <v>104</v>
      </c>
      <c r="B28" s="18">
        <f>(B23+B27)</f>
        <v>135839.15452054795</v>
      </c>
      <c r="C28" s="18">
        <f>(C23+C27)</f>
        <v>147685.6</v>
      </c>
      <c r="D28" s="18">
        <f>(D23+D27)</f>
        <v>162959.04564383562</v>
      </c>
    </row>
  </sheetData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105</v>
      </c>
    </row>
    <row r="3" spans="1:4">
      <c r="A3" s="7" t="s">
        <v>65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79</v>
      </c>
      <c r="B6" s="14">
        <f>'Income Statement'!B20</f>
        <v>5943.96</v>
      </c>
      <c r="C6" s="14">
        <f>'Income Statement'!C20</f>
        <v>8757.328</v>
      </c>
      <c r="D6" s="14">
        <f>'Income Statement'!D20</f>
        <v>8543.681192591781</v>
      </c>
    </row>
    <row r="7" spans="1:4">
      <c r="A7" s="9" t="s">
        <v>74</v>
      </c>
      <c r="B7" s="14">
        <f>'Income Statement'!B15</f>
        <v>8240.0</v>
      </c>
      <c r="C7" s="14">
        <f>'Income Statement'!C15</f>
        <v>8523.2</v>
      </c>
      <c r="D7" s="14">
        <f>'Income Statement'!D15</f>
        <v>9084.416</v>
      </c>
    </row>
    <row r="8" spans="1:4">
      <c r="A8" s="9" t="s">
        <v>106</v>
      </c>
      <c r="B8" s="14">
        <f>(-('Balance Sheet'!B8-'Assumptions'!B30))</f>
        <v>-1752.876712328769</v>
      </c>
      <c r="C8" s="14">
        <f>(-('Balance Sheet'!C8-'Balance Sheet'!B8))</f>
        <v>-2801.0958904109575</v>
      </c>
      <c r="D8" s="14">
        <f>(-('Balance Sheet'!D8-'Balance Sheet'!C8))</f>
        <v>-2676.164383561645</v>
      </c>
    </row>
    <row r="9" spans="1:4">
      <c r="A9" s="9" t="s">
        <v>107</v>
      </c>
      <c r="B9" s="14">
        <f>(-('Balance Sheet'!B9-'Assumptions'!B31))</f>
        <v>-1186.0</v>
      </c>
      <c r="C9" s="14">
        <f>(-('Balance Sheet'!C9-'Balance Sheet'!B9))</f>
        <v>-3162.5</v>
      </c>
      <c r="D9" s="14">
        <f>(-('Balance Sheet'!D9-'Balance Sheet'!C9))</f>
        <v>-4182.75</v>
      </c>
    </row>
    <row r="10" spans="1:4">
      <c r="A10" s="9" t="s">
        <v>108</v>
      </c>
      <c r="B10" s="14">
        <f>(-('Balance Sheet'!B10-'Assumptions'!B32))</f>
        <v>985.3643835616422</v>
      </c>
      <c r="C10" s="14">
        <f>(-('Balance Sheet'!C10-'Balance Sheet'!B10))</f>
        <v>-2700.991780821918</v>
      </c>
      <c r="D10" s="14">
        <f>(-('Balance Sheet'!D10-'Balance Sheet'!C10))</f>
        <v>-3134.3972602739705</v>
      </c>
    </row>
    <row r="11" spans="1:4">
      <c r="A11" s="9" t="s">
        <v>109</v>
      </c>
      <c r="B11" s="14">
        <f>(-('Balance Sheet'!B11-'Assumptions'!B33))</f>
        <v>-53.799999999999955</v>
      </c>
      <c r="C11" s="14">
        <f>(-('Balance Sheet'!C11-'Balance Sheet'!B11))</f>
        <v>-276.89999999999986</v>
      </c>
      <c r="D11" s="14">
        <f>(-('Balance Sheet'!D11-'Balance Sheet'!C11))</f>
        <v>-264.5500000000002</v>
      </c>
    </row>
    <row r="12" spans="1:4">
      <c r="A12" s="9" t="s">
        <v>110</v>
      </c>
      <c r="B12" s="14">
        <f>('Balance Sheet'!B17-'Assumptions'!B36)</f>
        <v>174.194520547946</v>
      </c>
      <c r="C12" s="14">
        <f>('Balance Sheet'!C17-'Balance Sheet'!B17)</f>
        <v>1786.139726027397</v>
      </c>
      <c r="D12" s="14">
        <f>('Balance Sheet'!D17-'Balance Sheet'!C17)</f>
        <v>2072.746575342464</v>
      </c>
    </row>
    <row r="13" spans="1:4">
      <c r="A13" s="9" t="s">
        <v>111</v>
      </c>
      <c r="B13" s="14">
        <f>('Balance Sheet'!B18-'Assumptions'!B37)</f>
        <v>543.0</v>
      </c>
      <c r="C13" s="14">
        <f>('Balance Sheet'!C18-'Balance Sheet'!B18)</f>
        <v>1171.5</v>
      </c>
      <c r="D13" s="14">
        <f>('Balance Sheet'!D18-'Balance Sheet'!C18)</f>
        <v>1119.25</v>
      </c>
    </row>
    <row r="14" spans="1:4">
      <c r="A14" s="9" t="s">
        <v>112</v>
      </c>
      <c r="B14" s="14">
        <f>('Balance Sheet'!B19-'Assumptions'!B38)</f>
        <v>378.0</v>
      </c>
      <c r="C14" s="14">
        <f>('Balance Sheet'!C19-'Balance Sheet'!B19)</f>
        <v>639.0</v>
      </c>
      <c r="D14" s="14">
        <f>('Balance Sheet'!D19-'Balance Sheet'!C19)</f>
        <v>610.5</v>
      </c>
    </row>
    <row r="15" spans="1:4">
      <c r="A15" s="15" t="s">
        <v>113</v>
      </c>
      <c r="B15" s="16">
        <f>(B6+B7+B8+B9+B10+B11+B12+B13+B14)</f>
        <v>13271.84219178082</v>
      </c>
      <c r="C15" s="16">
        <f>(C6+C7+C8+C9+C10+C11+C12+C13+C14)</f>
        <v>11935.68005479452</v>
      </c>
      <c r="D15" s="16">
        <f>(D6+D7+D8+D9+D10+D11+D12+D13+D14)</f>
        <v>11172.732124098628</v>
      </c>
    </row>
    <row r="16" spans="1:4">
      <c r="A16" s="9" t="s">
        <v>34</v>
      </c>
      <c r="B16" s="14">
        <f>(-'Assumptions'!B14)</f>
        <v>-9800.0</v>
      </c>
      <c r="C16" s="14">
        <f>(-'Assumptions'!C14)</f>
        <v>-12400.0</v>
      </c>
      <c r="D16" s="14">
        <f>(-'Assumptions'!D14)</f>
        <v>-14100.0</v>
      </c>
    </row>
    <row r="17" spans="1:4">
      <c r="A17" s="15" t="s">
        <v>114</v>
      </c>
      <c r="B17" s="16">
        <f>B16</f>
        <v>-9800.0</v>
      </c>
      <c r="C17" s="16">
        <f>C16</f>
        <v>-12400.0</v>
      </c>
      <c r="D17" s="16">
        <f>D16</f>
        <v>-14100.0</v>
      </c>
    </row>
    <row r="18" spans="1:4">
      <c r="A18" s="9" t="s">
        <v>115</v>
      </c>
      <c r="B18" s="14">
        <f>(-'Assumptions'!B16)</f>
        <v>-4000.0</v>
      </c>
      <c r="C18" s="14">
        <f>(-'Assumptions'!B16)</f>
        <v>-4000.0</v>
      </c>
      <c r="D18" s="14">
        <f>(-'Assumptions'!B16)</f>
        <v>-4000.0</v>
      </c>
    </row>
    <row r="19" spans="1:4">
      <c r="A19" s="9" t="s">
        <v>116</v>
      </c>
      <c r="B19" s="14">
        <f>(MAX(0,MIN(('Assumptions'!B20-((('Assumptions'!B29+B15)+B17)+B18)),('Assumptions'!B18-'Assumptions'!B39)))-MAX(0,MIN('Assumptions'!B39,(((('Assumptions'!B29+B15)+B17)+B18)-'Assumptions'!B20))))</f>
        <v>0.0</v>
      </c>
      <c r="C19" s="14">
        <f>(MAX(0,MIN(('Assumptions'!B20-((('Balance Sheet'!B7+C15)+C17)+C18)),('Assumptions'!B18-'Balance Sheet'!B21)))-MAX(0,MIN('Balance Sheet'!B21,(((('Balance Sheet'!B7+C15)+C17)+C18)-'Assumptions'!B20))))</f>
        <v>3492.4777534246605</v>
      </c>
      <c r="D19" s="14">
        <f>(MAX(0,MIN(('Assumptions'!B20-((('Balance Sheet'!C7+D15)+D17)+D18)),('Assumptions'!B18-'Balance Sheet'!C21)))-MAX(0,MIN('Balance Sheet'!C21,(((('Balance Sheet'!C7+D15)+D17)+D18)-'Assumptions'!B20))))</f>
        <v>6927.2678759013725</v>
      </c>
    </row>
    <row r="20" spans="1:4">
      <c r="A20" s="15" t="s">
        <v>117</v>
      </c>
      <c r="B20" s="16">
        <f>(B18+B19)</f>
        <v>-4000.0</v>
      </c>
      <c r="C20" s="16">
        <f>(C18+C19)</f>
        <v>-507.5222465753395</v>
      </c>
      <c r="D20" s="16">
        <f>(D18+D19)</f>
        <v>2927.2678759013725</v>
      </c>
    </row>
    <row r="21" spans="1:4">
      <c r="A21" s="15" t="s">
        <v>118</v>
      </c>
      <c r="B21" s="16">
        <f>((B15+B17)+B20)</f>
        <v>-528.1578082191809</v>
      </c>
      <c r="C21" s="16">
        <f>((C15+C17)+C20)</f>
        <v>-971.8421917808191</v>
      </c>
      <c r="D21" s="16">
        <f>((D15+D17)+D20)</f>
        <v>0.0</v>
      </c>
    </row>
    <row r="22" spans="1:4">
      <c r="A22" s="9" t="s">
        <v>119</v>
      </c>
      <c r="B22" s="14">
        <f>'Assumptions'!B29</f>
        <v>9500.0</v>
      </c>
      <c r="C22" s="14">
        <f>'Balance Sheet'!B7</f>
        <v>8971.84219178082</v>
      </c>
      <c r="D22" s="14">
        <f>'Balance Sheet'!C7</f>
        <v>8000.0</v>
      </c>
    </row>
    <row r="23" spans="1:4">
      <c r="A23" s="17" t="s">
        <v>120</v>
      </c>
      <c r="B23" s="18">
        <f>(B22+B21)</f>
        <v>8971.84219178082</v>
      </c>
      <c r="C23" s="18">
        <f>(C22+C21)</f>
        <v>8000.0</v>
      </c>
      <c r="D23" s="18">
        <f>(D22+D21)</f>
        <v>8000.0</v>
      </c>
    </row>
    <row r="26" spans="1:4">
      <c r="A26" s="8"/>
      <c r="B26" s="8" t="s">
        <v>23</v>
      </c>
      <c r="C26" s="8" t="s">
        <v>24</v>
      </c>
      <c r="D26" s="8" t="s">
        <v>25</v>
      </c>
    </row>
    <row r="27" spans="1:4">
      <c r="A27" s="9" t="s">
        <v>121</v>
      </c>
      <c r="B27" s="14">
        <f>((('Assumptions'!B29+B15)+B17)+B18)</f>
        <v>8971.84219178082</v>
      </c>
      <c r="C27" s="14">
        <f>((('Balance Sheet'!B7+C15)+C17)+C18)</f>
        <v>4507.5222465753395</v>
      </c>
      <c r="D27" s="14">
        <f>((('Balance Sheet'!C7+D15)+D17)+D18)</f>
        <v>1072.7321240986275</v>
      </c>
    </row>
  </sheetData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13</v>
      </c>
    </row>
    <row r="3" spans="1:4">
      <c r="A3" s="7" t="s">
        <v>22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28</v>
      </c>
      <c r="B6" s="24">
        <f>('Income Statement'!B10/'Income Statement'!B8)</f>
        <v>0.215</v>
      </c>
      <c r="C6" s="24">
        <f>('Income Statement'!C10/'Income Statement'!C8)</f>
        <v>0.22</v>
      </c>
      <c r="D6" s="24">
        <f>('Income Statement'!D10/'Income Statement'!D8)</f>
        <v>0.206</v>
      </c>
    </row>
    <row r="7" spans="1:4">
      <c r="A7" s="9" t="s">
        <v>80</v>
      </c>
      <c r="B7" s="24">
        <f>('Income Statement'!B14/'Income Statement'!B8)</f>
        <v>0.135</v>
      </c>
      <c r="C7" s="24">
        <f>('Income Statement'!C14/'Income Statement'!C8)</f>
        <v>0.14</v>
      </c>
      <c r="D7" s="24">
        <f>('Income Statement'!D14/'Income Statement'!D8)</f>
        <v>0.126</v>
      </c>
    </row>
    <row r="8" spans="1:4">
      <c r="A8" s="9" t="s">
        <v>122</v>
      </c>
      <c r="B8" s="24">
        <f>('Income Statement'!B16/'Income Statement'!B8)</f>
        <v>0.07721598877980365</v>
      </c>
      <c r="C8" s="24">
        <f>('Income Statement'!C16/'Income Statement'!C8)</f>
        <v>0.08799755948749237</v>
      </c>
      <c r="D8" s="24">
        <f>('Income Statement'!D16/'Income Statement'!D8)</f>
        <v>0.07669516417910448</v>
      </c>
    </row>
    <row r="9" spans="1:4">
      <c r="A9" s="9" t="s">
        <v>123</v>
      </c>
      <c r="B9" s="24">
        <f>('Income Statement'!B20/'Income Statement'!B8)</f>
        <v>0.04168274894810659</v>
      </c>
      <c r="C9" s="24">
        <f>('Income Statement'!C20/'Income Statement'!C8)</f>
        <v>0.05343092129347163</v>
      </c>
      <c r="D9" s="24">
        <f>('Income Statement'!D20/'Income Statement'!D8)</f>
        <v>0.046370047178245756</v>
      </c>
    </row>
    <row r="10" spans="1:4">
      <c r="A10" s="9" t="s">
        <v>124</v>
      </c>
      <c r="B10" s="19" t="s">
        <v>133</v>
      </c>
      <c r="C10" s="24">
        <f>(('Income Statement'!C8/'Income Statement'!B8)-1)</f>
        <v>0.14936886395511917</v>
      </c>
      <c r="D10" s="24">
        <f>(('Income Statement'!D8/'Income Statement'!C8)-1)</f>
        <v>0.12416107382550345</v>
      </c>
    </row>
    <row r="11" spans="1:4">
      <c r="A11" s="9" t="s">
        <v>125</v>
      </c>
      <c r="B11" s="25">
        <f>('Balance Sheet'!B12/'Balance Sheet'!B20)</f>
        <v>2.602901324266293</v>
      </c>
      <c r="C11" s="25">
        <f>('Balance Sheet'!C12/'Balance Sheet'!C20)</f>
        <v>2.5536979812026694</v>
      </c>
      <c r="D11" s="25">
        <f>('Balance Sheet'!D12/'Balance Sheet'!D20)</f>
        <v>2.5707550065973117</v>
      </c>
    </row>
    <row r="12" spans="1:4">
      <c r="A12" s="9" t="s">
        <v>126</v>
      </c>
      <c r="B12" s="25">
        <f>(('Balance Sheet'!B21+'Balance Sheet'!B22)/'Income Statement'!B14)</f>
        <v>2.0778141395252194</v>
      </c>
      <c r="C12" s="25">
        <f>(('Balance Sheet'!C21+'Balance Sheet'!C22)/'Income Statement'!C14)</f>
        <v>1.7211051056142534</v>
      </c>
      <c r="D12" s="25">
        <f>(('Balance Sheet'!D21+'Balance Sheet'!D22)/'Income Statement'!D14)</f>
        <v>1.8272165419364663</v>
      </c>
    </row>
    <row r="13" spans="1:4">
      <c r="A13" s="9" t="s">
        <v>127</v>
      </c>
      <c r="B13" s="24">
        <f>('Income Statement'!B20/((('Assumptions'!B41+'Assumptions'!B42)+'Balance Sheet'!B27)/2))</f>
        <v>0.08719066103111572</v>
      </c>
      <c r="C13" s="24">
        <f>('Income Statement'!C20/(('Balance Sheet'!B27+'Balance Sheet'!C27)/2))</f>
        <v>0.11595635236402803</v>
      </c>
      <c r="D13" s="24">
        <f>('Income Statement'!D20/(('Balance Sheet'!C27+'Balance Sheet'!D27)/2))</f>
        <v>0.10150129067399014</v>
      </c>
    </row>
    <row r="14" spans="1:4">
      <c r="A14" s="9" t="s">
        <v>128</v>
      </c>
      <c r="B14" s="26">
        <f>(('Balance Sheet'!B8/'Income Statement'!B8)*365)</f>
        <v>48.00000000000001</v>
      </c>
      <c r="C14" s="26">
        <f>(('Balance Sheet'!C8/'Income Statement'!C8)*365)</f>
        <v>48.00000000000001</v>
      </c>
      <c r="D14" s="26">
        <f>(('Balance Sheet'!D8/'Income Statement'!D8)*365)</f>
        <v>48.00000000000001</v>
      </c>
    </row>
    <row r="15" spans="1:4">
      <c r="A15" s="9" t="s">
        <v>129</v>
      </c>
      <c r="B15" s="26">
        <f>(('Balance Sheet'!B10/'Income Statement'!B9)*365)</f>
        <v>62.00000000000001</v>
      </c>
      <c r="C15" s="26">
        <f>(('Balance Sheet'!C10/'Income Statement'!C9)*365)</f>
        <v>62.00000000000001</v>
      </c>
      <c r="D15" s="26">
        <f>(('Balance Sheet'!D10/'Income Statement'!D9)*365)</f>
        <v>62.0</v>
      </c>
    </row>
    <row r="16" spans="1:4">
      <c r="A16" s="9" t="s">
        <v>130</v>
      </c>
      <c r="B16" s="26">
        <f>(('Balance Sheet'!B17/'Income Statement'!B9)*365)</f>
        <v>41.00000000000001</v>
      </c>
      <c r="C16" s="26">
        <f>(('Balance Sheet'!C17/'Income Statement'!C9)*365)</f>
        <v>41.00000000000001</v>
      </c>
      <c r="D16" s="26">
        <f>(('Balance Sheet'!D17/'Income Statement'!D9)*365)</f>
        <v>41.0</v>
      </c>
    </row>
    <row r="17" spans="1:4">
      <c r="A17" s="9" t="s">
        <v>131</v>
      </c>
      <c r="B17" s="14">
        <f>('Cash Flow'!B15+'Cash Flow'!B16)</f>
        <v>3471.842191780819</v>
      </c>
      <c r="C17" s="14">
        <f>('Cash Flow'!C15+'Cash Flow'!C16)</f>
        <v>-464.3199452054796</v>
      </c>
      <c r="D17" s="14">
        <f>('Cash Flow'!D15+'Cash Flow'!D16)</f>
        <v>-2927.2678759013725</v>
      </c>
    </row>
    <row r="18" spans="1:4">
      <c r="A18" s="9" t="s">
        <v>132</v>
      </c>
      <c r="B18" s="24">
        <f>(('Cash Flow'!B15+'Cash Flow'!B16)/'Income Statement'!B8)</f>
        <v>0.02434671943745315</v>
      </c>
      <c r="C18" s="24">
        <f>(('Cash Flow'!C15+'Cash Flow'!C16)/'Income Statement'!C8)</f>
        <v>-0.002832946584536178</v>
      </c>
      <c r="D18" s="24">
        <f>(('Cash Flow'!D15+'Cash Flow'!D16)/'Income Statement'!D8)</f>
        <v>-0.015887478295258467</v>
      </c>
    </row>
  </sheetData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"/>
  <sheetViews>
    <sheetView showGridLines="0" workbookViewId="0"/>
  </sheetViews>
  <sheetFormatPr defaultRowHeight="15"/>
  <cols>
    <col min="1" max="1" width="30.7109375" customWidth="1"/>
    <col min="2" max="13" width="11.7109375" customWidth="1"/>
  </cols>
  <sheetData>
    <row r="1" spans="1:13">
      <c r="A1" s="1" t="s">
        <v>0</v>
      </c>
    </row>
    <row r="2" spans="1:13">
      <c r="A2" s="3" t="s">
        <v>134</v>
      </c>
    </row>
    <row r="3" spans="1:13">
      <c r="A3" s="7" t="s">
        <v>22</v>
      </c>
    </row>
    <row r="5" spans="1:13">
      <c r="A5" s="8"/>
      <c r="B5" s="8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</row>
    <row r="6" spans="1:13">
      <c r="A6" s="9" t="s">
        <v>147</v>
      </c>
      <c r="B6" s="27">
        <f>1100</f>
        <v>1100.0</v>
      </c>
      <c r="C6" s="27">
        <f>2400</f>
        <v>2400.0</v>
      </c>
      <c r="D6" s="27">
        <f>3900</f>
        <v>3900.0</v>
      </c>
      <c r="E6" s="27">
        <f>5600</f>
        <v>5600.0</v>
      </c>
      <c r="F6" s="27">
        <f>7500</f>
        <v>7500.0</v>
      </c>
      <c r="G6" s="27">
        <f>9600</f>
        <v>9600.0</v>
      </c>
      <c r="H6" s="27">
        <f>11900</f>
        <v>11900.0</v>
      </c>
      <c r="I6" s="27">
        <f>14300</f>
        <v>14300.0</v>
      </c>
      <c r="J6" s="27">
        <f>16800</f>
        <v>16800.0</v>
      </c>
      <c r="K6" s="27">
        <f>19400</f>
        <v>19400.0</v>
      </c>
      <c r="L6" s="27">
        <f>22000</f>
        <v>22000.0</v>
      </c>
      <c r="M6" s="27">
        <f>24600</f>
        <v>24600.0</v>
      </c>
    </row>
    <row r="7" spans="1:13">
      <c r="A7" s="9" t="s">
        <v>148</v>
      </c>
      <c r="B7" s="27">
        <f>1050</f>
        <v>1050.0</v>
      </c>
      <c r="C7" s="27">
        <f>2280</f>
        <v>2280.0</v>
      </c>
      <c r="D7" s="27">
        <f>3650</f>
        <v>3650.0</v>
      </c>
      <c r="E7" s="27">
        <f>5200</f>
        <v>5200.0</v>
      </c>
      <c r="F7" s="27">
        <f>6950</f>
        <v>6950.0</v>
      </c>
      <c r="G7" s="27">
        <f>8850</f>
        <v>8850.0</v>
      </c>
      <c r="H7" s="27">
        <f>10900</f>
        <v>10900.0</v>
      </c>
      <c r="I7" s="27">
        <f>13050</f>
        <v>13050.0</v>
      </c>
      <c r="J7" s="27">
        <f>15300</f>
        <v>15300.0</v>
      </c>
      <c r="K7" s="27">
        <f>17650</f>
        <v>17650.0</v>
      </c>
      <c r="L7" s="27">
        <f>20050</f>
        <v>20050.0</v>
      </c>
      <c r="M7" s="27">
        <f>22500</f>
        <v>22500.0</v>
      </c>
    </row>
    <row r="8" spans="1:13">
      <c r="A8" s="9" t="s">
        <v>149</v>
      </c>
      <c r="B8" s="27">
        <f>1080</f>
        <v>1080.0</v>
      </c>
      <c r="C8" s="27">
        <f>2370</f>
        <v>2370.0</v>
      </c>
      <c r="D8" s="27">
        <f>3820</f>
        <v>3820.0</v>
      </c>
      <c r="E8" s="27">
        <f>5460</f>
        <v>5460.0</v>
      </c>
      <c r="F8" s="27">
        <f>7330</f>
        <v>7330.0</v>
      </c>
      <c r="G8" s="27">
        <f>9380</f>
        <v>9380.0</v>
      </c>
      <c r="H8" s="27">
        <f>11600</f>
        <v>11600.0</v>
      </c>
      <c r="I8" s="27">
        <f>13950</f>
        <v>13950.0</v>
      </c>
      <c r="J8" s="27">
        <f>16400</f>
        <v>16400.0</v>
      </c>
      <c r="K8" s="27">
        <f>18950</f>
        <v>18950.0</v>
      </c>
      <c r="L8" s="27">
        <f>21580</f>
        <v>21580.0</v>
      </c>
      <c r="M8" s="27">
        <f>24300</f>
        <v>24300.0</v>
      </c>
    </row>
    <row r="9" spans="1:13">
      <c r="A9" s="9" t="s">
        <v>150</v>
      </c>
      <c r="B9" s="27">
        <f>(B7-B8)</f>
        <v>-30.0</v>
      </c>
      <c r="C9" s="27">
        <f>(C7-C8)</f>
        <v>-90.0</v>
      </c>
      <c r="D9" s="27">
        <f>(D7-D8)</f>
        <v>-170.0</v>
      </c>
      <c r="E9" s="27">
        <f>(E7-E8)</f>
        <v>-260.0</v>
      </c>
      <c r="F9" s="27">
        <f>(F7-F8)</f>
        <v>-380.0</v>
      </c>
      <c r="G9" s="27">
        <f>(G7-G8)</f>
        <v>-530.0</v>
      </c>
      <c r="H9" s="27">
        <f>(H7-H8)</f>
        <v>-700.0</v>
      </c>
      <c r="I9" s="27">
        <f>(I7-I8)</f>
        <v>-900.0</v>
      </c>
      <c r="J9" s="27">
        <f>(J7-J8)</f>
        <v>-1100.0</v>
      </c>
      <c r="K9" s="27">
        <f>(K7-K8)</f>
        <v>-1300.0</v>
      </c>
      <c r="L9" s="27">
        <f>(L7-L8)</f>
        <v>-1530.0</v>
      </c>
      <c r="M9" s="27">
        <f>(M7-M8)</f>
        <v>-1800.0</v>
      </c>
    </row>
    <row r="10" spans="1:13">
      <c r="A10" s="9" t="s">
        <v>151</v>
      </c>
      <c r="B10" s="27">
        <f>(B7-B6)</f>
        <v>-50.0</v>
      </c>
      <c r="C10" s="27">
        <f>(C7-C6)</f>
        <v>-120.0</v>
      </c>
      <c r="D10" s="27">
        <f>(D7-D6)</f>
        <v>-250.0</v>
      </c>
      <c r="E10" s="27">
        <f>(E7-E6)</f>
        <v>-400.0</v>
      </c>
      <c r="F10" s="27">
        <f>(F7-F6)</f>
        <v>-550.0</v>
      </c>
      <c r="G10" s="27">
        <f>(G7-G6)</f>
        <v>-750.0</v>
      </c>
      <c r="H10" s="27">
        <f>(H7-H6)</f>
        <v>-1000.0</v>
      </c>
      <c r="I10" s="27">
        <f>(I7-I6)</f>
        <v>-1250.0</v>
      </c>
      <c r="J10" s="27">
        <f>(J7-J6)</f>
        <v>-1500.0</v>
      </c>
      <c r="K10" s="27">
        <f>(K7-K6)</f>
        <v>-1750.0</v>
      </c>
      <c r="L10" s="27">
        <f>(L7-L6)</f>
        <v>-1950.0</v>
      </c>
      <c r="M10" s="27">
        <f>(M7-M6)</f>
        <v>-2100.0</v>
      </c>
    </row>
    <row r="11" spans="1:13">
      <c r="A11" s="9" t="s">
        <v>152</v>
      </c>
      <c r="B11" s="28">
        <f>(B7/B8)</f>
        <v>0.9722222222222222</v>
      </c>
      <c r="C11" s="28">
        <f>(C7/C8)</f>
        <v>0.9620253164556962</v>
      </c>
      <c r="D11" s="28">
        <f>(D7/D8)</f>
        <v>0.9554973821989529</v>
      </c>
      <c r="E11" s="28">
        <f>(E7/E8)</f>
        <v>0.9523809523809523</v>
      </c>
      <c r="F11" s="28">
        <f>(F7/F8)</f>
        <v>0.9481582537517054</v>
      </c>
      <c r="G11" s="28">
        <f>(G7/G8)</f>
        <v>0.9434968017057569</v>
      </c>
      <c r="H11" s="28">
        <f>(H7/H8)</f>
        <v>0.9396551724137931</v>
      </c>
      <c r="I11" s="28">
        <f>(I7/I8)</f>
        <v>0.9354838709677419</v>
      </c>
      <c r="J11" s="28">
        <f>(J7/J8)</f>
        <v>0.9329268292682927</v>
      </c>
      <c r="K11" s="28">
        <f>(K7/K8)</f>
        <v>0.9313984168865436</v>
      </c>
      <c r="L11" s="28">
        <f>(L7/L8)</f>
        <v>0.9291010194624653</v>
      </c>
      <c r="M11" s="28">
        <f>(M7/M8)</f>
        <v>0.9259259259259259</v>
      </c>
    </row>
    <row r="12" spans="1:13">
      <c r="A12" s="9" t="s">
        <v>153</v>
      </c>
      <c r="B12" s="28">
        <f>(B7/B6)</f>
        <v>0.9545454545454546</v>
      </c>
      <c r="C12" s="28">
        <f>(C7/C6)</f>
        <v>0.95</v>
      </c>
      <c r="D12" s="28">
        <f>(D7/D6)</f>
        <v>0.9358974358974359</v>
      </c>
      <c r="E12" s="28">
        <f>(E7/E6)</f>
        <v>0.9285714285714286</v>
      </c>
      <c r="F12" s="28">
        <f>(F7/F6)</f>
        <v>0.9266666666666666</v>
      </c>
      <c r="G12" s="28">
        <f>(G7/G6)</f>
        <v>0.921875</v>
      </c>
      <c r="H12" s="28">
        <f>(H7/H6)</f>
        <v>0.9159663865546218</v>
      </c>
      <c r="I12" s="28">
        <f>(I7/I6)</f>
        <v>0.9125874125874126</v>
      </c>
      <c r="J12" s="28">
        <f>(J7/J6)</f>
        <v>0.9107142857142857</v>
      </c>
      <c r="K12" s="28">
        <f>(K7/K6)</f>
        <v>0.9097938144329897</v>
      </c>
      <c r="L12" s="28">
        <f>(L7/L6)</f>
        <v>0.9113636363636364</v>
      </c>
      <c r="M12" s="28">
        <f>(M7/M6)</f>
        <v>0.9146341463414634</v>
      </c>
    </row>
    <row r="15" spans="1:13">
      <c r="A15" s="8"/>
      <c r="B15" s="8" t="s">
        <v>154</v>
      </c>
    </row>
    <row r="16" spans="1:13">
      <c r="A16" s="9" t="s">
        <v>155</v>
      </c>
      <c r="B16" s="27">
        <f>48000</f>
        <v>48000.0</v>
      </c>
    </row>
    <row r="17" spans="1:2">
      <c r="A17" s="9" t="s">
        <v>156</v>
      </c>
      <c r="B17" s="14">
        <f>'EVM'!M6</f>
        <v>24600.0</v>
      </c>
    </row>
    <row r="18" spans="1:2">
      <c r="A18" s="9" t="s">
        <v>157</v>
      </c>
      <c r="B18" s="14">
        <f>'EVM'!M7</f>
        <v>22500.0</v>
      </c>
    </row>
    <row r="19" spans="1:2">
      <c r="A19" s="9" t="s">
        <v>158</v>
      </c>
      <c r="B19" s="14">
        <f>'EVM'!M8</f>
        <v>24300.0</v>
      </c>
    </row>
    <row r="20" spans="1:2">
      <c r="A20" s="9" t="s">
        <v>159</v>
      </c>
      <c r="B20" s="27">
        <f>(B18-B19)</f>
        <v>-1800.0</v>
      </c>
    </row>
    <row r="21" spans="1:2">
      <c r="A21" s="9" t="s">
        <v>160</v>
      </c>
      <c r="B21" s="27">
        <f>(B18-B17)</f>
        <v>-2100.0</v>
      </c>
    </row>
    <row r="22" spans="1:2">
      <c r="A22" s="9" t="s">
        <v>152</v>
      </c>
      <c r="B22" s="28">
        <f>(B18/B19)</f>
        <v>0.9259259259259259</v>
      </c>
    </row>
    <row r="23" spans="1:2">
      <c r="A23" s="9" t="s">
        <v>153</v>
      </c>
      <c r="B23" s="28">
        <f>(B18/B17)</f>
        <v>0.9146341463414634</v>
      </c>
    </row>
    <row r="24" spans="1:2">
      <c r="A24" s="9" t="s">
        <v>161</v>
      </c>
      <c r="B24" s="27">
        <f>(B16/B22)</f>
        <v>51840.0</v>
      </c>
    </row>
    <row r="25" spans="1:2">
      <c r="A25" s="9" t="s">
        <v>162</v>
      </c>
      <c r="B25" s="27">
        <f>(B19+((B16-B18)/(B22*B23)))</f>
        <v>54410.4</v>
      </c>
    </row>
    <row r="26" spans="1:2">
      <c r="A26" s="9" t="s">
        <v>163</v>
      </c>
      <c r="B26" s="27">
        <f>(B24-B19)</f>
        <v>27540.0</v>
      </c>
    </row>
    <row r="27" spans="1:2">
      <c r="A27" s="9" t="s">
        <v>164</v>
      </c>
      <c r="B27" s="27">
        <f>(B16-B24)</f>
        <v>-3840.0</v>
      </c>
    </row>
    <row r="28" spans="1:2">
      <c r="A28" s="9" t="s">
        <v>165</v>
      </c>
      <c r="B28" s="28">
        <f>((B16-B18)/(B16-B19))</f>
        <v>1.0759493670886076</v>
      </c>
    </row>
    <row r="29" spans="1:2">
      <c r="A29" s="9" t="s">
        <v>166</v>
      </c>
      <c r="B29" s="29">
        <f>(B18/B16)</f>
        <v>0.46875</v>
      </c>
    </row>
    <row r="30" spans="1:2">
      <c r="A30" s="9" t="s">
        <v>167</v>
      </c>
      <c r="B30" s="29">
        <f>(B19/B16)</f>
        <v>0.50625</v>
      </c>
    </row>
  </sheetData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168</v>
      </c>
    </row>
    <row r="3" spans="1:4">
      <c r="A3" s="7" t="s">
        <v>22</v>
      </c>
    </row>
    <row r="5" spans="1:4">
      <c r="A5" s="8"/>
      <c r="B5" s="8" t="s">
        <v>169</v>
      </c>
      <c r="C5" s="8" t="s">
        <v>170</v>
      </c>
      <c r="D5" s="8" t="s">
        <v>162</v>
      </c>
    </row>
    <row r="6" spans="1:4">
      <c r="A6" s="9" t="s">
        <v>171</v>
      </c>
      <c r="B6" s="27">
        <f>48000</f>
        <v>48000.0</v>
      </c>
      <c r="C6" s="14">
        <f>'EVM'!B24</f>
        <v>51840.0</v>
      </c>
      <c r="D6" s="14">
        <f>'EVM'!B25</f>
        <v>54410.4</v>
      </c>
    </row>
    <row r="7" spans="1:4">
      <c r="A7" s="9" t="s">
        <v>172</v>
      </c>
      <c r="B7" s="27">
        <f>(MIN((B6+((48000*0.1)-(0.3*(B6-48000)))),(48000*1.2))-B6)</f>
        <v>4800.0</v>
      </c>
      <c r="C7" s="27">
        <f>(MIN((C6+((48000*0.1)-(0.3*(C6-48000)))),(48000*1.2))-C6)</f>
        <v>3648.0</v>
      </c>
      <c r="D7" s="27">
        <f>(MIN((D6+((48000*0.1)-(0.3*(D6-48000)))),(48000*1.2))-D6)</f>
        <v>2876.8799999999974</v>
      </c>
    </row>
    <row r="8" spans="1:4">
      <c r="A8" s="9" t="s">
        <v>173</v>
      </c>
      <c r="B8" s="27">
        <f>MIN((B6+((48000*0.1)-(0.3*(B6-48000)))),(48000*1.2))</f>
        <v>52800.0</v>
      </c>
      <c r="C8" s="27">
        <f>MIN((C6+((48000*0.1)-(0.3*(C6-48000)))),(48000*1.2))</f>
        <v>55488.0</v>
      </c>
      <c r="D8" s="27">
        <f>MIN((D6+((48000*0.1)-(0.3*(D6-48000)))),(48000*1.2))</f>
        <v>57287.28</v>
      </c>
    </row>
    <row r="9" spans="1:4">
      <c r="A9" s="9" t="s">
        <v>174</v>
      </c>
      <c r="B9" s="29">
        <f>(B7/B6)</f>
        <v>0.1</v>
      </c>
      <c r="C9" s="29">
        <f>(C7/C6)</f>
        <v>0.07037037037037037</v>
      </c>
      <c r="D9" s="29">
        <f>(D7/D6)</f>
        <v>0.05287371531913012</v>
      </c>
    </row>
    <row r="10" spans="1:4">
      <c r="A10" s="9" t="s">
        <v>175</v>
      </c>
      <c r="B10" s="27">
        <f>((48000+(((48000*1.2)-(48000+(48000*0.1)))/0.7))-B6)</f>
        <v>6857.142857142855</v>
      </c>
      <c r="C10" s="27">
        <f>((48000+(((48000*1.2)-(48000+(48000*0.1)))/0.7))-C6)</f>
        <v>3017.142857142855</v>
      </c>
      <c r="D10" s="27">
        <f>((48000+(((48000*1.2)-(48000+(48000*0.1)))/0.7))-D6)</f>
        <v>446.7428571428536</v>
      </c>
    </row>
    <row r="11" spans="1:4">
      <c r="A11" s="9" t="s">
        <v>176</v>
      </c>
      <c r="B11" s="19" t="s">
        <v>177</v>
      </c>
      <c r="C11" s="19" t="s">
        <v>177</v>
      </c>
      <c r="D11" s="19" t="s">
        <v>177</v>
      </c>
    </row>
    <row r="13" spans="1:4">
      <c r="A13" s="15" t="s">
        <v>178</v>
      </c>
      <c r="B13" s="16">
        <f>(48000+(((48000*1.2)-(48000+(48000*0.1)))/0.7))</f>
        <v>54857.142857142855</v>
      </c>
    </row>
  </sheetData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179</v>
      </c>
    </row>
    <row r="3" spans="1:4">
      <c r="A3" s="7" t="s">
        <v>22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180</v>
      </c>
      <c r="B6" s="14">
        <f>'Assumptions'!B44</f>
        <v>285000.0</v>
      </c>
      <c r="C6" s="27">
        <f>B9</f>
        <v>310800.0</v>
      </c>
      <c r="D6" s="27">
        <f>C9</f>
        <v>328100.0</v>
      </c>
    </row>
    <row r="7" spans="1:4">
      <c r="A7" s="9" t="s">
        <v>63</v>
      </c>
      <c r="B7" s="14">
        <f>'Assumptions'!B43</f>
        <v>168400.0</v>
      </c>
      <c r="C7" s="14">
        <f>'Assumptions'!C43</f>
        <v>181200.0</v>
      </c>
      <c r="D7" s="14">
        <f>'Assumptions'!D43</f>
        <v>171900.0</v>
      </c>
    </row>
    <row r="8" spans="1:4">
      <c r="A8" s="9" t="s">
        <v>181</v>
      </c>
      <c r="B8" s="14">
        <f>'Income Statement'!B8</f>
        <v>142600.0</v>
      </c>
      <c r="C8" s="14">
        <f>'Income Statement'!C8</f>
        <v>163900.0</v>
      </c>
      <c r="D8" s="14">
        <f>'Income Statement'!D8</f>
        <v>184250.0</v>
      </c>
    </row>
    <row r="9" spans="1:4">
      <c r="A9" s="9" t="s">
        <v>182</v>
      </c>
      <c r="B9" s="27">
        <f>((B6+B7)-B8)</f>
        <v>310800.0</v>
      </c>
      <c r="C9" s="27">
        <f>((C6+C7)-C8)</f>
        <v>328100.0</v>
      </c>
      <c r="D9" s="27">
        <f>((D6+D7)-D8)</f>
        <v>315750.0</v>
      </c>
    </row>
    <row r="10" spans="1:4">
      <c r="A10" s="9" t="s">
        <v>183</v>
      </c>
      <c r="B10" s="30">
        <f>(B7/B8)</f>
        <v>1.1809256661991585</v>
      </c>
      <c r="C10" s="30">
        <f>(C7/C8)</f>
        <v>1.1055521659548506</v>
      </c>
      <c r="D10" s="30">
        <f>(D7/D8)</f>
        <v>0.9329715061058345</v>
      </c>
    </row>
    <row r="11" spans="1:4">
      <c r="A11" s="9" t="s">
        <v>184</v>
      </c>
      <c r="B11" s="28">
        <f>(B9/B8)</f>
        <v>2.179523141654979</v>
      </c>
      <c r="C11" s="28">
        <f>(C9/C8)</f>
        <v>2.00183038438072</v>
      </c>
      <c r="D11" s="28">
        <f>(D9/D8)</f>
        <v>1.7137042062415198</v>
      </c>
    </row>
  </sheetData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showGridLines="0" workbookViewId="0"/>
  </sheetViews>
  <sheetFormatPr defaultRowHeight="15"/>
  <cols>
    <col min="1" max="1" width="46.7109375" customWidth="1"/>
    <col min="2" max="4" width="16.7109375" customWidth="1"/>
  </cols>
  <sheetData>
    <row r="1" spans="1:3">
      <c r="A1" s="1" t="s">
        <v>17</v>
      </c>
    </row>
    <row r="3" spans="1:3">
      <c r="A3" s="15" t="s">
        <v>185</v>
      </c>
      <c r="B3" s="15" t="str">
        <f>IF(COUNTIF(C5:C28,"CHECK")=0,"ALL OK","CHECK FAILURES")</f>
        <v>ALL OK</v>
      </c>
    </row>
    <row r="4" spans="1:3">
      <c r="A4" s="8" t="s">
        <v>186</v>
      </c>
      <c r="B4" s="8" t="s">
        <v>187</v>
      </c>
      <c r="C4" s="8" t="s">
        <v>188</v>
      </c>
    </row>
    <row r="5" spans="1:3">
      <c r="A5" s="9" t="s">
        <v>189</v>
      </c>
      <c r="B5" s="27">
        <f>('Balance Sheet'!B15)-('Balance Sheet'!B28)</f>
        <v>0.0</v>
      </c>
      <c r="C5" s="9" t="str">
        <f>IF(ABS(B5)&lt;0.5,"OK","CHECK")</f>
        <v>OK</v>
      </c>
    </row>
    <row r="6" spans="1:3">
      <c r="A6" s="9" t="s">
        <v>190</v>
      </c>
      <c r="B6" s="27">
        <f>('Balance Sheet'!C15)-('Balance Sheet'!C28)</f>
        <v>0.0</v>
      </c>
      <c r="C6" s="9" t="str">
        <f>IF(ABS(B6)&lt;0.5,"OK","CHECK")</f>
        <v>OK</v>
      </c>
    </row>
    <row r="7" spans="1:3">
      <c r="A7" s="9" t="s">
        <v>191</v>
      </c>
      <c r="B7" s="27">
        <f>('Balance Sheet'!D15)-('Balance Sheet'!D28)</f>
        <v>0.0</v>
      </c>
      <c r="C7" s="9" t="str">
        <f>IF(ABS(B7)&lt;0.5,"OK","CHECK")</f>
        <v>OK</v>
      </c>
    </row>
    <row r="8" spans="1:3">
      <c r="A8" s="9" t="s">
        <v>192</v>
      </c>
      <c r="B8" s="27">
        <f>('Cash Flow'!B23)-('Balance Sheet'!B7)</f>
        <v>0.0</v>
      </c>
      <c r="C8" s="9" t="str">
        <f>IF(ABS(B8)&lt;0.5,"OK","CHECK")</f>
        <v>OK</v>
      </c>
    </row>
    <row r="9" spans="1:3">
      <c r="A9" s="9" t="s">
        <v>193</v>
      </c>
      <c r="B9" s="27">
        <f>('Cash Flow'!C23)-('Balance Sheet'!C7)</f>
        <v>0.0</v>
      </c>
      <c r="C9" s="9" t="str">
        <f>IF(ABS(B9)&lt;0.5,"OK","CHECK")</f>
        <v>OK</v>
      </c>
    </row>
    <row r="10" spans="1:3">
      <c r="A10" s="9" t="s">
        <v>194</v>
      </c>
      <c r="B10" s="27">
        <f>('Cash Flow'!D23)-('Balance Sheet'!D7)</f>
        <v>0.0</v>
      </c>
      <c r="C10" s="9" t="str">
        <f>IF(ABS(B10)&lt;0.5,"OK","CHECK")</f>
        <v>OK</v>
      </c>
    </row>
    <row r="11" spans="1:3">
      <c r="A11" s="9" t="s">
        <v>195</v>
      </c>
      <c r="B11" s="27">
        <f>('Income Statement'!B20)-('Cash Flow'!B6)</f>
        <v>0.0</v>
      </c>
      <c r="C11" s="9" t="str">
        <f>IF(ABS(B11)&lt;0.5,"OK","CHECK")</f>
        <v>OK</v>
      </c>
    </row>
    <row r="12" spans="1:3">
      <c r="A12" s="9" t="s">
        <v>196</v>
      </c>
      <c r="B12" s="27">
        <f>('Income Statement'!C20)-('Cash Flow'!C6)</f>
        <v>0.0</v>
      </c>
      <c r="C12" s="9" t="str">
        <f>IF(ABS(B12)&lt;0.5,"OK","CHECK")</f>
        <v>OK</v>
      </c>
    </row>
    <row r="13" spans="1:3">
      <c r="A13" s="9" t="s">
        <v>197</v>
      </c>
      <c r="B13" s="27">
        <f>('Income Statement'!D20)-('Cash Flow'!D6)</f>
        <v>0.0</v>
      </c>
      <c r="C13" s="9" t="str">
        <f>IF(ABS(B13)&lt;0.5,"OK","CHECK")</f>
        <v>OK</v>
      </c>
    </row>
    <row r="14" spans="1:3">
      <c r="A14" s="9" t="s">
        <v>198</v>
      </c>
      <c r="B14" s="27">
        <f>('Cash Flow'!B22)-('Assumptions'!B29)</f>
        <v>0.0</v>
      </c>
      <c r="C14" s="9" t="str">
        <f>IF(ABS(B14)&lt;0.5,"OK","CHECK")</f>
        <v>OK</v>
      </c>
    </row>
    <row r="15" spans="1:3">
      <c r="A15" s="9" t="s">
        <v>199</v>
      </c>
      <c r="B15" s="27">
        <f>('Cash Flow'!C22)-('Cash Flow'!B23)</f>
        <v>0.0</v>
      </c>
      <c r="C15" s="9" t="str">
        <f>IF(ABS(B15)&lt;0.5,"OK","CHECK")</f>
        <v>OK</v>
      </c>
    </row>
    <row r="16" spans="1:3">
      <c r="A16" s="9" t="s">
        <v>200</v>
      </c>
      <c r="B16" s="27">
        <f>('Cash Flow'!D22)-('Cash Flow'!C23)</f>
        <v>0.0</v>
      </c>
      <c r="C16" s="9" t="str">
        <f>IF(ABS(B16)&lt;0.5,"OK","CHECK")</f>
        <v>OK</v>
      </c>
    </row>
    <row r="17" spans="1:3">
      <c r="A17" s="9" t="s">
        <v>201</v>
      </c>
      <c r="B17" s="27">
        <f>('Balance Sheet'!B26)-(('Assumptions'!B42+'Income Statement'!B20))</f>
        <v>0.0</v>
      </c>
      <c r="C17" s="9" t="str">
        <f>IF(ABS(B17)&lt;0.5,"OK","CHECK")</f>
        <v>OK</v>
      </c>
    </row>
    <row r="18" spans="1:3">
      <c r="A18" s="9" t="s">
        <v>202</v>
      </c>
      <c r="B18" s="27">
        <f>('Balance Sheet'!C26)-(('Balance Sheet'!B26+'Income Statement'!C20))</f>
        <v>0.0</v>
      </c>
      <c r="C18" s="9" t="str">
        <f>IF(ABS(B18)&lt;0.5,"OK","CHECK")</f>
        <v>OK</v>
      </c>
    </row>
    <row r="19" spans="1:3">
      <c r="A19" s="9" t="s">
        <v>203</v>
      </c>
      <c r="B19" s="27">
        <f>('Balance Sheet'!D26)-(('Balance Sheet'!C26+'Income Statement'!D20))</f>
        <v>0.0</v>
      </c>
      <c r="C19" s="9" t="str">
        <f>IF(ABS(B19)&lt;0.5,"OK","CHECK")</f>
        <v>OK</v>
      </c>
    </row>
    <row r="20" spans="1:3">
      <c r="A20" s="9" t="s">
        <v>204</v>
      </c>
      <c r="B20" s="27">
        <f>('Income Statement'!B8)-(('Income Statement'!B6+'Income Statement'!B7))</f>
        <v>0.0</v>
      </c>
      <c r="C20" s="9" t="str">
        <f>IF(ABS(B20)&lt;0.5,"OK","CHECK")</f>
        <v>OK</v>
      </c>
    </row>
    <row r="21" spans="1:3">
      <c r="A21" s="9" t="s">
        <v>205</v>
      </c>
      <c r="B21" s="27">
        <f>('Income Statement'!C8)-(('Income Statement'!C6+'Income Statement'!C7))</f>
        <v>0.0</v>
      </c>
      <c r="C21" s="9" t="str">
        <f>IF(ABS(B21)&lt;0.5,"OK","CHECK")</f>
        <v>OK</v>
      </c>
    </row>
    <row r="22" spans="1:3">
      <c r="A22" s="9" t="s">
        <v>206</v>
      </c>
      <c r="B22" s="27">
        <f>('Income Statement'!D8)-(('Income Statement'!D6+'Income Statement'!D7))</f>
        <v>0.0</v>
      </c>
      <c r="C22" s="9" t="str">
        <f>IF(ABS(B22)&lt;0.5,"OK","CHECK")</f>
        <v>OK</v>
      </c>
    </row>
    <row r="23" spans="1:3">
      <c r="A23" s="9" t="s">
        <v>207</v>
      </c>
      <c r="B23" s="27">
        <f>('Balance Sheet'!B12)-(('Balance Sheet'!B7+'Balance Sheet'!B8+'Balance Sheet'!B9+'Balance Sheet'!B10+'Balance Sheet'!B11))</f>
        <v>0.0</v>
      </c>
      <c r="C23" s="9" t="str">
        <f>IF(ABS(B23)&lt;0.5,"OK","CHECK")</f>
        <v>OK</v>
      </c>
    </row>
    <row r="24" spans="1:3">
      <c r="A24" s="9" t="s">
        <v>208</v>
      </c>
      <c r="B24" s="27">
        <f>('Balance Sheet'!C12)-(('Balance Sheet'!C7+'Balance Sheet'!C8+'Balance Sheet'!C9+'Balance Sheet'!C10+'Balance Sheet'!C11))</f>
        <v>0.0</v>
      </c>
      <c r="C24" s="9" t="str">
        <f>IF(ABS(B24)&lt;0.5,"OK","CHECK")</f>
        <v>OK</v>
      </c>
    </row>
    <row r="25" spans="1:3">
      <c r="A25" s="9" t="s">
        <v>209</v>
      </c>
      <c r="B25" s="27">
        <f>('Balance Sheet'!D12)-(('Balance Sheet'!D7+'Balance Sheet'!D8+'Balance Sheet'!D9+'Balance Sheet'!D10+'Balance Sheet'!D11))</f>
        <v>0.0</v>
      </c>
      <c r="C25" s="9" t="str">
        <f>IF(ABS(B25)&lt;0.5,"OK","CHECK")</f>
        <v>OK</v>
      </c>
    </row>
    <row r="26" spans="1:3">
      <c r="A26" s="9" t="s">
        <v>210</v>
      </c>
      <c r="B26" s="27">
        <f>('Balance Sheet'!B23)-((('Balance Sheet'!B20+'Balance Sheet'!B21)+'Balance Sheet'!B22))</f>
        <v>0.0</v>
      </c>
      <c r="C26" s="9" t="str">
        <f>IF(ABS(B26)&lt;0.5,"OK","CHECK")</f>
        <v>OK</v>
      </c>
    </row>
    <row r="27" spans="1:3">
      <c r="A27" s="9" t="s">
        <v>211</v>
      </c>
      <c r="B27" s="27">
        <f>('Balance Sheet'!C23)-((('Balance Sheet'!C20+'Balance Sheet'!C21)+'Balance Sheet'!C22))</f>
        <v>0.0</v>
      </c>
      <c r="C27" s="9" t="str">
        <f>IF(ABS(B27)&lt;0.5,"OK","CHECK")</f>
        <v>OK</v>
      </c>
    </row>
    <row r="28" spans="1:3">
      <c r="A28" s="9" t="s">
        <v>212</v>
      </c>
      <c r="B28" s="27">
        <f>('Balance Sheet'!D23)-((('Balance Sheet'!D20+'Balance Sheet'!D21)+'Balance Sheet'!D22))</f>
        <v>0.0</v>
      </c>
      <c r="C28" s="9" t="str">
        <f>IF(ABS(B28)&lt;0.5,"OK","CHECK")</f>
        <v>OK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Income Statement</vt:lpstr>
      <vt:lpstr>Balance Sheet</vt:lpstr>
      <vt:lpstr>Cash Flow</vt:lpstr>
      <vt:lpstr>Ratios</vt:lpstr>
      <vt:lpstr>EVM</vt:lpstr>
      <vt:lpstr>Contract</vt:lpstr>
      <vt:lpstr>Backlog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Aldercrest Aerospace, Inc. FY2025 Financial Model</dc:title>
  <dc:subject/>
  <dc:creator>George Murad</dc:creator>
  <cp:keywords/>
  <dc:description/>
  <cp:lastModifiedBy>George Murad</cp:lastModifiedBy>
  <dcterms:created xsi:type="dcterms:W3CDTF">2026-09-28T07:17:30Z</dcterms:created>
  <dcterms:modified xsi:type="dcterms:W3CDTF">2026-09-28T07:17:30Z</dcterms:modified>
</cp:coreProperties>
</file>