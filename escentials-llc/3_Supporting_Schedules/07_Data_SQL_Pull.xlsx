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Print_Titles" localSheetId="0">Data!$1:$4</definedName>
  </definedNames>
  <calcPr calcId="124519" fullCalcOnLoad="1"/>
</workbook>
</file>

<file path=xl/sharedStrings.xml><?xml version="1.0" encoding="utf-8"?>
<sst xmlns="http://schemas.openxmlformats.org/spreadsheetml/2006/main" count="43" uniqueCount="42">
  <si>
    <t>Data</t>
  </si>
  <si>
    <t>Monthly SQL pull: 5_SQLite_Database/queries/monthly_summary.sql against escentials.db. Values from the database, not formulas.</t>
  </si>
  <si>
    <t>Illustrative figures for privacy: modeled on the business's size, channels and products, not its actual results</t>
  </si>
  <si>
    <t>USD</t>
  </si>
  <si>
    <t>FY 2025</t>
  </si>
  <si>
    <t>Sales</t>
  </si>
  <si>
    <t>Merchandise sales, eBay</t>
  </si>
  <si>
    <t>Merchandise sales, Shopify</t>
  </si>
  <si>
    <t>Designer fragrance</t>
  </si>
  <si>
    <t>Car Perfume bottles</t>
  </si>
  <si>
    <t>Car Perfume refills</t>
  </si>
  <si>
    <t>Shipping charged to customers</t>
  </si>
  <si>
    <t>Discounts</t>
  </si>
  <si>
    <t>Returns and refunds, merchandise</t>
  </si>
  <si>
    <t>Cost of goods sold, net of returns</t>
  </si>
  <si>
    <t>Designer fragrance, drop ship cost</t>
  </si>
  <si>
    <t>Car Perfume and refills</t>
  </si>
  <si>
    <t>Operating costs</t>
  </si>
  <si>
    <t>eBay marketplace fees</t>
  </si>
  <si>
    <t>Shopify payment processing</t>
  </si>
  <si>
    <t>Drop ship fees and postage</t>
  </si>
  <si>
    <t>Promoted listings and ads</t>
  </si>
  <si>
    <t>Packaging</t>
  </si>
  <si>
    <t>Software and subscriptions</t>
  </si>
  <si>
    <t>Professional fees</t>
  </si>
  <si>
    <t>Taxes and licenses</t>
  </si>
  <si>
    <t>General and administrative</t>
  </si>
  <si>
    <t>Balance sheet activity</t>
  </si>
  <si>
    <t>Inventory purchases</t>
  </si>
  <si>
    <t>Equipment purchases</t>
  </si>
  <si>
    <t>Member contributions</t>
  </si>
  <si>
    <t>Member distributions</t>
  </si>
  <si>
    <t>Sales tax collected</t>
  </si>
  <si>
    <t>Sales tax remitted</t>
  </si>
  <si>
    <t>Volume</t>
  </si>
  <si>
    <t>Orders</t>
  </si>
  <si>
    <t>Orders, eBay</t>
  </si>
  <si>
    <t>Orders, Shopify</t>
  </si>
  <si>
    <t>Units sold</t>
  </si>
  <si>
    <t>Orders returned</t>
  </si>
  <si>
    <t>Control totals for the year, straight from SQL (the Checks sheet ties to these)</t>
  </si>
  <si>
    <t>Merchandise sales</t>
  </si>
</sst>
</file>

<file path=xl/styles.xml><?xml version="1.0" encoding="utf-8"?>
<styleSheet xmlns="http://schemas.openxmlformats.org/spreadsheetml/2006/main">
  <numFmts count="2">
    <numFmt numFmtId="164" formatCode="mmm yy"/>
    <numFmt numFmtId="165" formatCode="#,##0_);(#,##0);&quot;–&quot;_)"/>
  </numFmts>
  <fonts count="8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F38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indent="1"/>
    </xf>
    <xf numFmtId="165" fontId="7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O47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4.7109375" customWidth="1"/>
    <col min="2" max="2" width="1.7109375" hidden="1" customWidth="1"/>
    <col min="3" max="14" width="10.28515625" customWidth="1"/>
    <col min="15" max="15" width="11.7109375" customWidth="1"/>
  </cols>
  <sheetData>
    <row r="1" spans="1:15">
      <c r="A1" s="1" t="s">
        <v>0</v>
      </c>
    </row>
    <row r="2" spans="1:15">
      <c r="A2" s="2" t="s">
        <v>1</v>
      </c>
    </row>
    <row r="3" spans="1:15">
      <c r="A3" s="3" t="s">
        <v>2</v>
      </c>
    </row>
    <row r="4" spans="1:15">
      <c r="A4" s="4" t="s">
        <v>3</v>
      </c>
      <c r="C4" s="5">
        <v>45688</v>
      </c>
      <c r="D4" s="5">
        <v>45716</v>
      </c>
      <c r="E4" s="5">
        <v>45747</v>
      </c>
      <c r="F4" s="5">
        <v>45777</v>
      </c>
      <c r="G4" s="5">
        <v>45808</v>
      </c>
      <c r="H4" s="5">
        <v>45838</v>
      </c>
      <c r="I4" s="5">
        <v>45869</v>
      </c>
      <c r="J4" s="5">
        <v>45900</v>
      </c>
      <c r="K4" s="5">
        <v>45930</v>
      </c>
      <c r="L4" s="5">
        <v>45961</v>
      </c>
      <c r="M4" s="5">
        <v>45991</v>
      </c>
      <c r="N4" s="5">
        <v>46022</v>
      </c>
      <c r="O4" s="6" t="s">
        <v>4</v>
      </c>
    </row>
    <row r="5" spans="1:15">
      <c r="A5" s="7" t="s">
        <v>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A6" s="9" t="s">
        <v>6</v>
      </c>
      <c r="C6" s="10">
        <v>7868.76</v>
      </c>
      <c r="D6" s="10">
        <v>10203.63</v>
      </c>
      <c r="E6" s="10">
        <v>7998.73</v>
      </c>
      <c r="F6" s="10">
        <v>9112.120000000001</v>
      </c>
      <c r="G6" s="10">
        <v>9220.82</v>
      </c>
      <c r="H6" s="10">
        <v>9203.27</v>
      </c>
      <c r="I6" s="10">
        <v>9009.83</v>
      </c>
      <c r="J6" s="10">
        <v>8318.08</v>
      </c>
      <c r="K6" s="10">
        <v>6705.48</v>
      </c>
      <c r="L6" s="10">
        <v>8742.809999999999</v>
      </c>
      <c r="M6" s="10">
        <v>13018.48</v>
      </c>
      <c r="N6" s="10">
        <v>17077.67</v>
      </c>
      <c r="O6" s="8">
        <f>SUM(C6:N6)</f>
        <v>116479.68</v>
      </c>
    </row>
    <row r="7" spans="1:15">
      <c r="A7" s="9" t="s">
        <v>7</v>
      </c>
      <c r="C7" s="10">
        <v>5372.97</v>
      </c>
      <c r="D7" s="10">
        <v>7371.53</v>
      </c>
      <c r="E7" s="10">
        <v>7055.8</v>
      </c>
      <c r="F7" s="10">
        <v>5360.45</v>
      </c>
      <c r="G7" s="10">
        <v>6625.56</v>
      </c>
      <c r="H7" s="10">
        <v>7295.16</v>
      </c>
      <c r="I7" s="10">
        <v>4760.62</v>
      </c>
      <c r="J7" s="10">
        <v>5839</v>
      </c>
      <c r="K7" s="10">
        <v>7104.87</v>
      </c>
      <c r="L7" s="10">
        <v>6761.88</v>
      </c>
      <c r="M7" s="10">
        <v>10746.63</v>
      </c>
      <c r="N7" s="10">
        <v>10181.47</v>
      </c>
      <c r="O7" s="8">
        <f>SUM(C7:N7)</f>
        <v>84475.94</v>
      </c>
    </row>
    <row r="8" spans="1:15">
      <c r="A8" s="9" t="s">
        <v>8</v>
      </c>
      <c r="C8" s="10">
        <v>11296.84</v>
      </c>
      <c r="D8" s="10">
        <v>15205.69</v>
      </c>
      <c r="E8" s="10">
        <v>13065.68</v>
      </c>
      <c r="F8" s="10">
        <v>12358.76</v>
      </c>
      <c r="G8" s="10">
        <v>13444.91</v>
      </c>
      <c r="H8" s="10">
        <v>14073</v>
      </c>
      <c r="I8" s="10">
        <v>11657.72</v>
      </c>
      <c r="J8" s="10">
        <v>12239.19</v>
      </c>
      <c r="K8" s="10">
        <v>11458.81</v>
      </c>
      <c r="L8" s="10">
        <v>12926.39</v>
      </c>
      <c r="M8" s="10">
        <v>20378.83</v>
      </c>
      <c r="N8" s="10">
        <v>22850.79</v>
      </c>
      <c r="O8" s="8">
        <f>SUM(C8:N8)</f>
        <v>170956.61</v>
      </c>
    </row>
    <row r="9" spans="1:15">
      <c r="A9" s="9" t="s">
        <v>9</v>
      </c>
      <c r="C9" s="10">
        <v>597.3200000000001</v>
      </c>
      <c r="D9" s="10">
        <v>697.22</v>
      </c>
      <c r="E9" s="10">
        <v>587.33</v>
      </c>
      <c r="F9" s="10">
        <v>597.3200000000001</v>
      </c>
      <c r="G9" s="10">
        <v>615.3099999999999</v>
      </c>
      <c r="H9" s="10">
        <v>519.42</v>
      </c>
      <c r="I9" s="10">
        <v>489.44</v>
      </c>
      <c r="J9" s="10">
        <v>515.41</v>
      </c>
      <c r="K9" s="10">
        <v>541.38</v>
      </c>
      <c r="L9" s="10">
        <v>549.37</v>
      </c>
      <c r="M9" s="10">
        <v>976.9</v>
      </c>
      <c r="N9" s="10">
        <v>1056.8</v>
      </c>
      <c r="O9" s="8">
        <f>SUM(C9:N9)</f>
        <v>7743.22</v>
      </c>
    </row>
    <row r="10" spans="1:15">
      <c r="A10" s="9" t="s">
        <v>10</v>
      </c>
      <c r="C10" s="10">
        <v>1347.57</v>
      </c>
      <c r="D10" s="10">
        <v>1672.25</v>
      </c>
      <c r="E10" s="10">
        <v>1401.52</v>
      </c>
      <c r="F10" s="10">
        <v>1516.49</v>
      </c>
      <c r="G10" s="10">
        <v>1786.16</v>
      </c>
      <c r="H10" s="10">
        <v>1906.01</v>
      </c>
      <c r="I10" s="10">
        <v>1623.29</v>
      </c>
      <c r="J10" s="10">
        <v>1402.48</v>
      </c>
      <c r="K10" s="10">
        <v>1810.16</v>
      </c>
      <c r="L10" s="10">
        <v>2028.93</v>
      </c>
      <c r="M10" s="10">
        <v>2409.38</v>
      </c>
      <c r="N10" s="10">
        <v>3351.55</v>
      </c>
      <c r="O10" s="8">
        <f>SUM(C10:N10)</f>
        <v>22255.79</v>
      </c>
    </row>
    <row r="11" spans="1:15">
      <c r="A11" s="9" t="s">
        <v>11</v>
      </c>
      <c r="C11" s="10">
        <v>509.15</v>
      </c>
      <c r="D11" s="10">
        <v>616.97</v>
      </c>
      <c r="E11" s="10">
        <v>539.1</v>
      </c>
      <c r="F11" s="10">
        <v>581.03</v>
      </c>
      <c r="G11" s="10">
        <v>599</v>
      </c>
      <c r="H11" s="10">
        <v>640.9299999999999</v>
      </c>
      <c r="I11" s="10">
        <v>527.12</v>
      </c>
      <c r="J11" s="10">
        <v>479.2</v>
      </c>
      <c r="K11" s="10">
        <v>646.92</v>
      </c>
      <c r="L11" s="10">
        <v>622.96</v>
      </c>
      <c r="M11" s="10">
        <v>826.62</v>
      </c>
      <c r="N11" s="10">
        <v>1042.26</v>
      </c>
      <c r="O11" s="8">
        <f>SUM(C11:N11)</f>
        <v>7631.26</v>
      </c>
    </row>
    <row r="12" spans="1:15">
      <c r="A12" s="9" t="s">
        <v>12</v>
      </c>
      <c r="C12" s="10">
        <v>26.39</v>
      </c>
      <c r="D12" s="10">
        <v>29.91</v>
      </c>
      <c r="E12" s="10">
        <v>62.91</v>
      </c>
      <c r="F12" s="10">
        <v>57.25</v>
      </c>
      <c r="G12" s="10">
        <v>42.05</v>
      </c>
      <c r="H12" s="10">
        <v>47.6</v>
      </c>
      <c r="I12" s="10">
        <v>32.69</v>
      </c>
      <c r="J12" s="10">
        <v>20.69</v>
      </c>
      <c r="K12" s="10">
        <v>23.4</v>
      </c>
      <c r="L12" s="10">
        <v>67.36</v>
      </c>
      <c r="M12" s="10">
        <v>103.89</v>
      </c>
      <c r="N12" s="10">
        <v>84.34</v>
      </c>
      <c r="O12" s="8">
        <f>SUM(C12:N12)</f>
        <v>598.48</v>
      </c>
    </row>
    <row r="13" spans="1:15">
      <c r="A13" s="9" t="s">
        <v>13</v>
      </c>
      <c r="C13" s="10">
        <v>107.3</v>
      </c>
      <c r="D13" s="10">
        <v>775.89</v>
      </c>
      <c r="E13" s="10">
        <v>341.76</v>
      </c>
      <c r="F13" s="10">
        <v>446.78</v>
      </c>
      <c r="G13" s="10">
        <v>264.24</v>
      </c>
      <c r="H13" s="10">
        <v>130.38</v>
      </c>
      <c r="I13" s="10">
        <v>580.27</v>
      </c>
      <c r="J13" s="10">
        <v>378.86</v>
      </c>
      <c r="K13" s="10">
        <v>16.98</v>
      </c>
      <c r="L13" s="10">
        <v>457.54</v>
      </c>
      <c r="M13" s="10">
        <v>357.81</v>
      </c>
      <c r="N13" s="10">
        <v>1396.42</v>
      </c>
      <c r="O13" s="8">
        <f>SUM(C13:N13)</f>
        <v>5254.23</v>
      </c>
    </row>
    <row r="14" spans="1:15">
      <c r="A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>
      <c r="A15" s="7" t="s">
        <v>14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>
      <c r="A16" s="9" t="s">
        <v>15</v>
      </c>
      <c r="C16" s="10">
        <v>9101</v>
      </c>
      <c r="D16" s="10">
        <v>11657</v>
      </c>
      <c r="E16" s="10">
        <v>10357</v>
      </c>
      <c r="F16" s="10">
        <v>9648</v>
      </c>
      <c r="G16" s="10">
        <v>10645</v>
      </c>
      <c r="H16" s="10">
        <v>11308</v>
      </c>
      <c r="I16" s="10">
        <v>8929</v>
      </c>
      <c r="J16" s="10">
        <v>9590</v>
      </c>
      <c r="K16" s="10">
        <v>9201</v>
      </c>
      <c r="L16" s="10">
        <v>10062</v>
      </c>
      <c r="M16" s="10">
        <v>16201</v>
      </c>
      <c r="N16" s="10">
        <v>17307</v>
      </c>
      <c r="O16" s="8">
        <f>SUM(C16:N16)</f>
        <v>134006</v>
      </c>
    </row>
    <row r="17" spans="1:15">
      <c r="A17" s="9" t="s">
        <v>16</v>
      </c>
      <c r="C17" s="10">
        <v>424.55</v>
      </c>
      <c r="D17" s="10">
        <v>508.6</v>
      </c>
      <c r="E17" s="10">
        <v>428.65</v>
      </c>
      <c r="F17" s="10">
        <v>450.65</v>
      </c>
      <c r="G17" s="10">
        <v>515.05</v>
      </c>
      <c r="H17" s="10">
        <v>508.35</v>
      </c>
      <c r="I17" s="10">
        <v>446.6</v>
      </c>
      <c r="J17" s="10">
        <v>412.9</v>
      </c>
      <c r="K17" s="10">
        <v>499.95</v>
      </c>
      <c r="L17" s="10">
        <v>543.25</v>
      </c>
      <c r="M17" s="10">
        <v>729</v>
      </c>
      <c r="N17" s="10">
        <v>934.7</v>
      </c>
      <c r="O17" s="8">
        <f>SUM(C17:N17)</f>
        <v>6402.25</v>
      </c>
    </row>
    <row r="18" spans="1:15">
      <c r="A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>
      <c r="A19" s="7" t="s">
        <v>17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>
      <c r="A20" s="9" t="s">
        <v>18</v>
      </c>
      <c r="C20" s="10">
        <v>1070.6</v>
      </c>
      <c r="D20" s="10">
        <v>1389.17</v>
      </c>
      <c r="E20" s="10">
        <v>1085</v>
      </c>
      <c r="F20" s="10">
        <v>1236.16</v>
      </c>
      <c r="G20" s="10">
        <v>1257.38</v>
      </c>
      <c r="H20" s="10">
        <v>1249.43</v>
      </c>
      <c r="I20" s="10">
        <v>1225.4</v>
      </c>
      <c r="J20" s="10">
        <v>1133.33</v>
      </c>
      <c r="K20" s="10">
        <v>912.4299999999999</v>
      </c>
      <c r="L20" s="10">
        <v>1191.23</v>
      </c>
      <c r="M20" s="10">
        <v>1772.96</v>
      </c>
      <c r="N20" s="10">
        <v>2328.01</v>
      </c>
      <c r="O20" s="8">
        <f>SUM(C20:N20)</f>
        <v>15851.1</v>
      </c>
    </row>
    <row r="21" spans="1:15">
      <c r="A21" s="9" t="s">
        <v>19</v>
      </c>
      <c r="C21" s="10">
        <v>205.33</v>
      </c>
      <c r="D21" s="10">
        <v>276.92</v>
      </c>
      <c r="E21" s="10">
        <v>260.3</v>
      </c>
      <c r="F21" s="10">
        <v>209.63</v>
      </c>
      <c r="G21" s="10">
        <v>253.99</v>
      </c>
      <c r="H21" s="10">
        <v>278.32</v>
      </c>
      <c r="I21" s="10">
        <v>187.72</v>
      </c>
      <c r="J21" s="10">
        <v>219.69</v>
      </c>
      <c r="K21" s="10">
        <v>273.3</v>
      </c>
      <c r="L21" s="10">
        <v>259.74</v>
      </c>
      <c r="M21" s="10">
        <v>399.71</v>
      </c>
      <c r="N21" s="10">
        <v>399.29</v>
      </c>
      <c r="O21" s="8">
        <f>SUM(C21:N21)</f>
        <v>3223.94</v>
      </c>
    </row>
    <row r="22" spans="1:15">
      <c r="A22" s="9" t="s">
        <v>20</v>
      </c>
      <c r="C22" s="10">
        <v>1183.1</v>
      </c>
      <c r="D22" s="10">
        <v>1524.2</v>
      </c>
      <c r="E22" s="10">
        <v>1229.8</v>
      </c>
      <c r="F22" s="10">
        <v>1232.55</v>
      </c>
      <c r="G22" s="10">
        <v>1453.35</v>
      </c>
      <c r="H22" s="10">
        <v>1434.35</v>
      </c>
      <c r="I22" s="10">
        <v>1251.55</v>
      </c>
      <c r="J22" s="10">
        <v>1249.6</v>
      </c>
      <c r="K22" s="10">
        <v>1333.85</v>
      </c>
      <c r="L22" s="10">
        <v>1440.3</v>
      </c>
      <c r="M22" s="10">
        <v>2045.7</v>
      </c>
      <c r="N22" s="10">
        <v>2556.55</v>
      </c>
      <c r="O22" s="8">
        <f>SUM(C22:N22)</f>
        <v>17934.9</v>
      </c>
    </row>
    <row r="23" spans="1:15">
      <c r="A23" s="9" t="s">
        <v>21</v>
      </c>
      <c r="C23" s="10">
        <v>454.52</v>
      </c>
      <c r="D23" s="10">
        <v>508.81</v>
      </c>
      <c r="E23" s="10">
        <v>513.47</v>
      </c>
      <c r="F23" s="10">
        <v>465.48</v>
      </c>
      <c r="G23" s="10">
        <v>433.38</v>
      </c>
      <c r="H23" s="10">
        <v>412.06</v>
      </c>
      <c r="I23" s="10">
        <v>414.77</v>
      </c>
      <c r="J23" s="10">
        <v>476.4</v>
      </c>
      <c r="K23" s="10">
        <v>484.68</v>
      </c>
      <c r="L23" s="10">
        <v>393.91</v>
      </c>
      <c r="M23" s="10">
        <v>982.24</v>
      </c>
      <c r="N23" s="10">
        <v>1214.34</v>
      </c>
      <c r="O23" s="8">
        <f>SUM(C23:N23)</f>
        <v>6754.06</v>
      </c>
    </row>
    <row r="24" spans="1:15">
      <c r="A24" s="9" t="s">
        <v>22</v>
      </c>
      <c r="C24" s="10">
        <v>68.90000000000001</v>
      </c>
      <c r="D24" s="10">
        <v>85.8</v>
      </c>
      <c r="E24" s="10">
        <v>70.2</v>
      </c>
      <c r="F24" s="10">
        <v>73.45</v>
      </c>
      <c r="G24" s="10">
        <v>85.15000000000001</v>
      </c>
      <c r="H24" s="10">
        <v>85.15000000000001</v>
      </c>
      <c r="I24" s="10">
        <v>73.45</v>
      </c>
      <c r="J24" s="10">
        <v>68.90000000000001</v>
      </c>
      <c r="K24" s="10">
        <v>78.65000000000001</v>
      </c>
      <c r="L24" s="10">
        <v>83.2</v>
      </c>
      <c r="M24" s="10">
        <v>118.3</v>
      </c>
      <c r="N24" s="10">
        <v>144.95</v>
      </c>
      <c r="O24" s="8">
        <f>SUM(C24:N24)</f>
        <v>1036.1</v>
      </c>
    </row>
    <row r="25" spans="1:15">
      <c r="A25" s="9" t="s">
        <v>23</v>
      </c>
      <c r="C25" s="10">
        <v>75.2</v>
      </c>
      <c r="D25" s="10">
        <v>75.2</v>
      </c>
      <c r="E25" s="10">
        <v>97.2</v>
      </c>
      <c r="F25" s="10">
        <v>75.2</v>
      </c>
      <c r="G25" s="10">
        <v>75.2</v>
      </c>
      <c r="H25" s="10">
        <v>75.2</v>
      </c>
      <c r="I25" s="10">
        <v>75.2</v>
      </c>
      <c r="J25" s="10">
        <v>75.2</v>
      </c>
      <c r="K25" s="10">
        <v>75.2</v>
      </c>
      <c r="L25" s="10">
        <v>75.2</v>
      </c>
      <c r="M25" s="10">
        <v>75.2</v>
      </c>
      <c r="N25" s="10">
        <v>75.2</v>
      </c>
      <c r="O25" s="8">
        <f>SUM(C25:N25)</f>
        <v>924.4</v>
      </c>
    </row>
    <row r="26" spans="1:15">
      <c r="A26" s="9" t="s">
        <v>24</v>
      </c>
      <c r="C26" s="10">
        <v>0</v>
      </c>
      <c r="D26" s="10">
        <v>0</v>
      </c>
      <c r="E26" s="10">
        <v>950</v>
      </c>
      <c r="F26" s="10">
        <v>0</v>
      </c>
      <c r="G26" s="10">
        <v>0</v>
      </c>
      <c r="H26" s="10">
        <v>20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8">
        <f>SUM(C26:N26)</f>
        <v>970</v>
      </c>
    </row>
    <row r="27" spans="1:15">
      <c r="A27" s="9" t="s">
        <v>25</v>
      </c>
      <c r="C27" s="10">
        <v>110</v>
      </c>
      <c r="D27" s="10">
        <v>0</v>
      </c>
      <c r="E27" s="10">
        <v>0</v>
      </c>
      <c r="F27" s="10">
        <v>800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8">
        <f>SUM(C27:N27)</f>
        <v>910</v>
      </c>
    </row>
    <row r="28" spans="1:15">
      <c r="A28" s="9" t="s">
        <v>26</v>
      </c>
      <c r="C28" s="10">
        <v>67</v>
      </c>
      <c r="D28" s="10">
        <v>103.43</v>
      </c>
      <c r="E28" s="10">
        <v>67</v>
      </c>
      <c r="F28" s="10">
        <v>67</v>
      </c>
      <c r="G28" s="10">
        <v>125.73</v>
      </c>
      <c r="H28" s="10">
        <v>67</v>
      </c>
      <c r="I28" s="10">
        <v>67</v>
      </c>
      <c r="J28" s="10">
        <v>119.34</v>
      </c>
      <c r="K28" s="10">
        <v>67</v>
      </c>
      <c r="L28" s="10">
        <v>67</v>
      </c>
      <c r="M28" s="10">
        <v>118.77</v>
      </c>
      <c r="N28" s="10">
        <v>67</v>
      </c>
      <c r="O28" s="8">
        <f>SUM(C28:N28)</f>
        <v>1003.27</v>
      </c>
    </row>
    <row r="29" spans="1:15">
      <c r="A29" s="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>
      <c r="A30" s="7" t="s">
        <v>27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>
      <c r="A31" s="9" t="s">
        <v>28</v>
      </c>
      <c r="C31" s="10">
        <v>0</v>
      </c>
      <c r="D31" s="10">
        <v>2400</v>
      </c>
      <c r="E31" s="10">
        <v>0</v>
      </c>
      <c r="F31" s="10">
        <v>0</v>
      </c>
      <c r="G31" s="10">
        <v>0</v>
      </c>
      <c r="H31" s="10">
        <v>2300</v>
      </c>
      <c r="I31" s="10">
        <v>0</v>
      </c>
      <c r="J31" s="10">
        <v>0</v>
      </c>
      <c r="K31" s="10">
        <v>0</v>
      </c>
      <c r="L31" s="10">
        <v>3200</v>
      </c>
      <c r="M31" s="10">
        <v>0</v>
      </c>
      <c r="N31" s="10">
        <v>0</v>
      </c>
      <c r="O31" s="8">
        <f>SUM(C31:N31)</f>
        <v>7900</v>
      </c>
    </row>
    <row r="32" spans="1:15">
      <c r="A32" s="9" t="s">
        <v>29</v>
      </c>
      <c r="C32" s="10">
        <v>1647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8">
        <f>SUM(C32:N32)</f>
        <v>1647</v>
      </c>
    </row>
    <row r="33" spans="1:15">
      <c r="A33" s="9" t="s">
        <v>30</v>
      </c>
      <c r="C33" s="10">
        <v>0</v>
      </c>
      <c r="D33" s="10">
        <v>2500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8">
        <f>SUM(C33:N33)</f>
        <v>2500</v>
      </c>
    </row>
    <row r="34" spans="1:15">
      <c r="A34" s="9" t="s">
        <v>31</v>
      </c>
      <c r="C34" s="10">
        <v>750</v>
      </c>
      <c r="D34" s="10">
        <v>750</v>
      </c>
      <c r="E34" s="10">
        <v>750</v>
      </c>
      <c r="F34" s="10">
        <v>750</v>
      </c>
      <c r="G34" s="10">
        <v>750</v>
      </c>
      <c r="H34" s="10">
        <v>750</v>
      </c>
      <c r="I34" s="10">
        <v>750</v>
      </c>
      <c r="J34" s="10">
        <v>750</v>
      </c>
      <c r="K34" s="10">
        <v>750</v>
      </c>
      <c r="L34" s="10">
        <v>750</v>
      </c>
      <c r="M34" s="10">
        <v>750</v>
      </c>
      <c r="N34" s="10">
        <v>750</v>
      </c>
      <c r="O34" s="8">
        <f>SUM(C34:N34)</f>
        <v>9000</v>
      </c>
    </row>
    <row r="35" spans="1:15">
      <c r="A35" s="9" t="s">
        <v>32</v>
      </c>
      <c r="C35" s="10">
        <v>64.94</v>
      </c>
      <c r="D35" s="10">
        <v>154.04</v>
      </c>
      <c r="E35" s="10">
        <v>147.56</v>
      </c>
      <c r="F35" s="10">
        <v>114.19</v>
      </c>
      <c r="G35" s="10">
        <v>179.16</v>
      </c>
      <c r="H35" s="10">
        <v>187.13</v>
      </c>
      <c r="I35" s="10">
        <v>38</v>
      </c>
      <c r="J35" s="10">
        <v>129.38</v>
      </c>
      <c r="K35" s="10">
        <v>184.11</v>
      </c>
      <c r="L35" s="10">
        <v>202.12</v>
      </c>
      <c r="M35" s="10">
        <v>305.03</v>
      </c>
      <c r="N35" s="10">
        <v>279.81</v>
      </c>
      <c r="O35" s="8">
        <f>SUM(C35:N35)</f>
        <v>1985.47</v>
      </c>
    </row>
    <row r="36" spans="1:15">
      <c r="A36" s="9" t="s">
        <v>33</v>
      </c>
      <c r="C36" s="10">
        <v>708</v>
      </c>
      <c r="D36" s="10">
        <v>0</v>
      </c>
      <c r="E36" s="10">
        <v>0</v>
      </c>
      <c r="F36" s="10">
        <v>366.54</v>
      </c>
      <c r="G36" s="10">
        <v>0</v>
      </c>
      <c r="H36" s="10">
        <v>0</v>
      </c>
      <c r="I36" s="10">
        <v>480.48</v>
      </c>
      <c r="J36" s="10">
        <v>0</v>
      </c>
      <c r="K36" s="10">
        <v>0</v>
      </c>
      <c r="L36" s="10">
        <v>351.49</v>
      </c>
      <c r="M36" s="10">
        <v>0</v>
      </c>
      <c r="N36" s="10">
        <v>0</v>
      </c>
      <c r="O36" s="8">
        <f>SUM(C36:N36)</f>
        <v>1906.51</v>
      </c>
    </row>
    <row r="37" spans="1:15">
      <c r="A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>
      <c r="A38" s="7" t="s">
        <v>34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>
      <c r="A39" s="9" t="s">
        <v>35</v>
      </c>
      <c r="C39" s="10">
        <v>182</v>
      </c>
      <c r="D39" s="10">
        <v>232</v>
      </c>
      <c r="E39" s="10">
        <v>188</v>
      </c>
      <c r="F39" s="10">
        <v>191</v>
      </c>
      <c r="G39" s="10">
        <v>224</v>
      </c>
      <c r="H39" s="10">
        <v>222</v>
      </c>
      <c r="I39" s="10">
        <v>193</v>
      </c>
      <c r="J39" s="10">
        <v>189</v>
      </c>
      <c r="K39" s="10">
        <v>206</v>
      </c>
      <c r="L39" s="10">
        <v>221</v>
      </c>
      <c r="M39" s="10">
        <v>314</v>
      </c>
      <c r="N39" s="10">
        <v>390</v>
      </c>
      <c r="O39" s="8">
        <f>SUM(C39:N39)</f>
        <v>2752</v>
      </c>
    </row>
    <row r="40" spans="1:15">
      <c r="A40" s="9" t="s">
        <v>36</v>
      </c>
      <c r="C40" s="10">
        <v>70</v>
      </c>
      <c r="D40" s="10">
        <v>93</v>
      </c>
      <c r="E40" s="10">
        <v>63</v>
      </c>
      <c r="F40" s="10">
        <v>72</v>
      </c>
      <c r="G40" s="10">
        <v>89</v>
      </c>
      <c r="H40" s="10">
        <v>75</v>
      </c>
      <c r="I40" s="10">
        <v>79</v>
      </c>
      <c r="J40" s="10">
        <v>78</v>
      </c>
      <c r="K40" s="10">
        <v>60</v>
      </c>
      <c r="L40" s="10">
        <v>82</v>
      </c>
      <c r="M40" s="10">
        <v>120</v>
      </c>
      <c r="N40" s="10">
        <v>163</v>
      </c>
      <c r="O40" s="8">
        <f>SUM(C40:N40)</f>
        <v>1044</v>
      </c>
    </row>
    <row r="41" spans="1:15">
      <c r="A41" s="9" t="s">
        <v>37</v>
      </c>
      <c r="C41" s="10">
        <v>112</v>
      </c>
      <c r="D41" s="10">
        <v>139</v>
      </c>
      <c r="E41" s="10">
        <v>125</v>
      </c>
      <c r="F41" s="10">
        <v>119</v>
      </c>
      <c r="G41" s="10">
        <v>135</v>
      </c>
      <c r="H41" s="10">
        <v>147</v>
      </c>
      <c r="I41" s="10">
        <v>114</v>
      </c>
      <c r="J41" s="10">
        <v>111</v>
      </c>
      <c r="K41" s="10">
        <v>146</v>
      </c>
      <c r="L41" s="10">
        <v>139</v>
      </c>
      <c r="M41" s="10">
        <v>194</v>
      </c>
      <c r="N41" s="10">
        <v>227</v>
      </c>
      <c r="O41" s="8">
        <f>SUM(C41:N41)</f>
        <v>1708</v>
      </c>
    </row>
    <row r="42" spans="1:15">
      <c r="A42" s="9" t="s">
        <v>38</v>
      </c>
      <c r="C42" s="10">
        <v>288</v>
      </c>
      <c r="D42" s="10">
        <v>359</v>
      </c>
      <c r="E42" s="10">
        <v>299</v>
      </c>
      <c r="F42" s="10">
        <v>300</v>
      </c>
      <c r="G42" s="10">
        <v>347</v>
      </c>
      <c r="H42" s="10">
        <v>350</v>
      </c>
      <c r="I42" s="10">
        <v>311</v>
      </c>
      <c r="J42" s="10">
        <v>297</v>
      </c>
      <c r="K42" s="10">
        <v>336</v>
      </c>
      <c r="L42" s="10">
        <v>367</v>
      </c>
      <c r="M42" s="10">
        <v>507</v>
      </c>
      <c r="N42" s="10">
        <v>638</v>
      </c>
      <c r="O42" s="8">
        <f>SUM(C42:N42)</f>
        <v>4399</v>
      </c>
    </row>
    <row r="43" spans="1:15">
      <c r="A43" s="9" t="s">
        <v>39</v>
      </c>
      <c r="C43" s="10">
        <v>1</v>
      </c>
      <c r="D43" s="10">
        <v>7</v>
      </c>
      <c r="E43" s="10">
        <v>4</v>
      </c>
      <c r="F43" s="10">
        <v>7</v>
      </c>
      <c r="G43" s="10">
        <v>1</v>
      </c>
      <c r="H43" s="10">
        <v>2</v>
      </c>
      <c r="I43" s="10">
        <v>5</v>
      </c>
      <c r="J43" s="10">
        <v>3</v>
      </c>
      <c r="K43" s="10">
        <v>2</v>
      </c>
      <c r="L43" s="10">
        <v>5</v>
      </c>
      <c r="M43" s="10">
        <v>3</v>
      </c>
      <c r="N43" s="10">
        <v>12</v>
      </c>
      <c r="O43" s="8">
        <f>SUM(C43:N43)</f>
        <v>52</v>
      </c>
    </row>
    <row r="44" spans="1:15">
      <c r="A44" s="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>
      <c r="A45" s="7" t="s">
        <v>40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>
      <c r="A46" s="9" t="s">
        <v>41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10">
        <v>200955.62</v>
      </c>
    </row>
    <row r="47" spans="1:15">
      <c r="A47" s="9" t="s">
        <v>35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0">
        <v>2752</v>
      </c>
    </row>
  </sheetData>
  <pageMargins left="0.4" right="0.4" top="0.5" bottom="0.5" header="0.3" footer="0.3"/>
  <pageSetup paperSize="1" fitToHeight="0" orientation="landscape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2026-09-27T04:21:34Z</dcterms:created>
  <dcterms:modified xsi:type="dcterms:W3CDTF">2026-09-27T04:21:34Z</dcterms:modified>
</cp:coreProperties>
</file>