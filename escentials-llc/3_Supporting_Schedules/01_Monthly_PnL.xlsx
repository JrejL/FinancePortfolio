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P&amp;L" sheetId="1" r:id="rId1"/>
  </sheets>
  <definedNames>
    <definedName name="_xlnm.Print_Titles" localSheetId="0">'Monthly P&amp;L'!$1:$4</definedName>
  </definedNames>
  <calcPr calcId="124519" fullCalcOnLoad="1"/>
</workbook>
</file>

<file path=xl/sharedStrings.xml><?xml version="1.0" encoding="utf-8"?>
<sst xmlns="http://schemas.openxmlformats.org/spreadsheetml/2006/main" count="37" uniqueCount="37">
  <si>
    <t>Monthly P&amp;L</t>
  </si>
  <si>
    <t>Income statement by month. USD.</t>
  </si>
  <si>
    <t>Illustrative figures for privacy: modeled on the business's size, channels and products, not its actual results</t>
  </si>
  <si>
    <t>USD</t>
  </si>
  <si>
    <t>FY 2025</t>
  </si>
  <si>
    <t>Revenue</t>
  </si>
  <si>
    <t>Merchandise sales, eBay</t>
  </si>
  <si>
    <t>Merchandise sales, Shopify</t>
  </si>
  <si>
    <t>Shipping income</t>
  </si>
  <si>
    <t>Less: discounts</t>
  </si>
  <si>
    <t>Less: returns and refunds</t>
  </si>
  <si>
    <t>Net revenue</t>
  </si>
  <si>
    <t>Cost of goods sold</t>
  </si>
  <si>
    <t>Designer fragrance, drop shipped</t>
  </si>
  <si>
    <t>Car Perfume and refills</t>
  </si>
  <si>
    <t>Total cost of goods sold</t>
  </si>
  <si>
    <t>Gross profit</t>
  </si>
  <si>
    <t>Gross margin</t>
  </si>
  <si>
    <t>Operating expenses</t>
  </si>
  <si>
    <t>Marketplace fees</t>
  </si>
  <si>
    <t>Payment processing</t>
  </si>
  <si>
    <t>Shipping and fulfillment</t>
  </si>
  <si>
    <t>Advertising and marketing</t>
  </si>
  <si>
    <t>Packaging and supplies</t>
  </si>
  <si>
    <t>Software and subscriptions</t>
  </si>
  <si>
    <t>Professional fees</t>
  </si>
  <si>
    <t>Taxes and licenses</t>
  </si>
  <si>
    <t>General and administrative</t>
  </si>
  <si>
    <t>Depreciation</t>
  </si>
  <si>
    <t>Total operating expenses</t>
  </si>
  <si>
    <t>Operating income</t>
  </si>
  <si>
    <t>Operating margin</t>
  </si>
  <si>
    <t>Net income</t>
  </si>
  <si>
    <t>Net margin</t>
  </si>
  <si>
    <t>Memo</t>
  </si>
  <si>
    <t>EBITDA: operating income plus depreciation</t>
  </si>
  <si>
    <t>Spending: COGS plus cash operating expenses</t>
  </si>
</sst>
</file>

<file path=xl/styles.xml><?xml version="1.0" encoding="utf-8"?>
<styleSheet xmlns="http://schemas.openxmlformats.org/spreadsheetml/2006/main">
  <numFmts count="3">
    <numFmt numFmtId="164" formatCode="mmm yy"/>
    <numFmt numFmtId="165" formatCode="#,##0_);(#,##0);&quot;–&quot;_)"/>
    <numFmt numFmtId="166" formatCode="0.0%_);(0.0%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166" fontId="10" fillId="0" borderId="0" xfId="0" applyNumberFormat="1" applyFont="1" applyAlignment="1">
      <alignment vertical="center"/>
    </xf>
    <xf numFmtId="0" fontId="8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5" fontId="1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O4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.7109375" hidden="1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C4" s="5">
        <v>45688</v>
      </c>
      <c r="D4" s="5">
        <v>45716</v>
      </c>
      <c r="E4" s="5">
        <v>45747</v>
      </c>
      <c r="F4" s="5">
        <v>45777</v>
      </c>
      <c r="G4" s="5">
        <v>45808</v>
      </c>
      <c r="H4" s="5">
        <v>45838</v>
      </c>
      <c r="I4" s="5">
        <v>45869</v>
      </c>
      <c r="J4" s="5">
        <v>45900</v>
      </c>
      <c r="K4" s="5">
        <v>45930</v>
      </c>
      <c r="L4" s="5">
        <v>45961</v>
      </c>
      <c r="M4" s="5">
        <v>45991</v>
      </c>
      <c r="N4" s="5">
        <v>46022</v>
      </c>
      <c r="O4" s="6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C6" s="10">
        <v>7868.76</v>
      </c>
      <c r="D6" s="10">
        <v>10203.63</v>
      </c>
      <c r="E6" s="10">
        <v>7998.73</v>
      </c>
      <c r="F6" s="10">
        <v>9112.120000000001</v>
      </c>
      <c r="G6" s="10">
        <v>9220.82</v>
      </c>
      <c r="H6" s="10">
        <v>9203.27</v>
      </c>
      <c r="I6" s="10">
        <v>9009.83</v>
      </c>
      <c r="J6" s="10">
        <v>8318.08</v>
      </c>
      <c r="K6" s="10">
        <v>6705.48</v>
      </c>
      <c r="L6" s="10">
        <v>8742.809999999999</v>
      </c>
      <c r="M6" s="10">
        <v>13018.48</v>
      </c>
      <c r="N6" s="10">
        <v>17077.67</v>
      </c>
      <c r="O6" s="8">
        <f>SUM(C6:N6)</f>
        <v>116479.68</v>
      </c>
    </row>
    <row r="7" spans="1:15">
      <c r="A7" s="9" t="s">
        <v>7</v>
      </c>
      <c r="C7" s="10">
        <v>5372.97</v>
      </c>
      <c r="D7" s="10">
        <v>7371.53</v>
      </c>
      <c r="E7" s="10">
        <v>7055.8</v>
      </c>
      <c r="F7" s="10">
        <v>5360.45</v>
      </c>
      <c r="G7" s="10">
        <v>6625.56</v>
      </c>
      <c r="H7" s="10">
        <v>7295.16</v>
      </c>
      <c r="I7" s="10">
        <v>4760.62</v>
      </c>
      <c r="J7" s="10">
        <v>5839</v>
      </c>
      <c r="K7" s="10">
        <v>7104.87</v>
      </c>
      <c r="L7" s="10">
        <v>6761.88</v>
      </c>
      <c r="M7" s="10">
        <v>10746.63</v>
      </c>
      <c r="N7" s="10">
        <v>10181.47</v>
      </c>
      <c r="O7" s="8">
        <f>SUM(C7:N7)</f>
        <v>84475.94</v>
      </c>
    </row>
    <row r="8" spans="1:15">
      <c r="A8" s="9" t="s">
        <v>8</v>
      </c>
      <c r="C8" s="10">
        <v>509.15</v>
      </c>
      <c r="D8" s="10">
        <v>616.97</v>
      </c>
      <c r="E8" s="10">
        <v>539.1</v>
      </c>
      <c r="F8" s="10">
        <v>581.03</v>
      </c>
      <c r="G8" s="10">
        <v>599</v>
      </c>
      <c r="H8" s="10">
        <v>640.9299999999999</v>
      </c>
      <c r="I8" s="10">
        <v>527.12</v>
      </c>
      <c r="J8" s="10">
        <v>479.2</v>
      </c>
      <c r="K8" s="10">
        <v>646.92</v>
      </c>
      <c r="L8" s="10">
        <v>622.96</v>
      </c>
      <c r="M8" s="10">
        <v>826.62</v>
      </c>
      <c r="N8" s="10">
        <v>1042.26</v>
      </c>
      <c r="O8" s="8">
        <f>SUM(C8:N8)</f>
        <v>7631.26</v>
      </c>
    </row>
    <row r="9" spans="1:15">
      <c r="A9" s="9" t="s">
        <v>9</v>
      </c>
      <c r="C9" s="10">
        <v>-26.39</v>
      </c>
      <c r="D9" s="10">
        <v>-29.91</v>
      </c>
      <c r="E9" s="10">
        <v>-62.91</v>
      </c>
      <c r="F9" s="10">
        <v>-57.25</v>
      </c>
      <c r="G9" s="10">
        <v>-42.05</v>
      </c>
      <c r="H9" s="10">
        <v>-47.6</v>
      </c>
      <c r="I9" s="10">
        <v>-32.69</v>
      </c>
      <c r="J9" s="10">
        <v>-20.69</v>
      </c>
      <c r="K9" s="10">
        <v>-23.4</v>
      </c>
      <c r="L9" s="10">
        <v>-67.36</v>
      </c>
      <c r="M9" s="10">
        <v>-103.89</v>
      </c>
      <c r="N9" s="10">
        <v>-84.34</v>
      </c>
      <c r="O9" s="8">
        <f>SUM(C9:N9)</f>
        <v>-598.48</v>
      </c>
    </row>
    <row r="10" spans="1:15">
      <c r="A10" s="9" t="s">
        <v>10</v>
      </c>
      <c r="C10" s="10">
        <v>-107.3</v>
      </c>
      <c r="D10" s="10">
        <v>-775.89</v>
      </c>
      <c r="E10" s="10">
        <v>-341.76</v>
      </c>
      <c r="F10" s="10">
        <v>-446.78</v>
      </c>
      <c r="G10" s="10">
        <v>-264.24</v>
      </c>
      <c r="H10" s="10">
        <v>-130.38</v>
      </c>
      <c r="I10" s="10">
        <v>-580.27</v>
      </c>
      <c r="J10" s="10">
        <v>-378.86</v>
      </c>
      <c r="K10" s="10">
        <v>-16.98</v>
      </c>
      <c r="L10" s="10">
        <v>-457.54</v>
      </c>
      <c r="M10" s="10">
        <v>-357.81</v>
      </c>
      <c r="N10" s="10">
        <v>-1396.42</v>
      </c>
      <c r="O10" s="8">
        <f>SUM(C10:N10)</f>
        <v>-5254.23</v>
      </c>
    </row>
    <row r="11" spans="1:15">
      <c r="A11" s="11" t="s">
        <v>11</v>
      </c>
      <c r="C11" s="12">
        <f>SUM(C6:C10)</f>
        <v>13617.19</v>
      </c>
      <c r="D11" s="12">
        <f>SUM(D6:D10)</f>
        <v>17386.33</v>
      </c>
      <c r="E11" s="12">
        <f>SUM(E6:E10)</f>
        <v>15188.96</v>
      </c>
      <c r="F11" s="12">
        <f>SUM(F6:F10)</f>
        <v>14549.57</v>
      </c>
      <c r="G11" s="12">
        <f>SUM(G6:G10)</f>
        <v>16139.09</v>
      </c>
      <c r="H11" s="12">
        <f>SUM(H6:H10)</f>
        <v>16961.38</v>
      </c>
      <c r="I11" s="12">
        <f>SUM(I6:I10)</f>
        <v>13684.61</v>
      </c>
      <c r="J11" s="12">
        <f>SUM(J6:J10)</f>
        <v>14236.73</v>
      </c>
      <c r="K11" s="12">
        <f>SUM(K6:K10)</f>
        <v>14416.89</v>
      </c>
      <c r="L11" s="12">
        <f>SUM(L6:L10)</f>
        <v>15602.75</v>
      </c>
      <c r="M11" s="12">
        <f>SUM(M6:M10)</f>
        <v>24130.03</v>
      </c>
      <c r="N11" s="12">
        <f>SUM(N6:N10)</f>
        <v>26820.64</v>
      </c>
      <c r="O11" s="12">
        <f>SUM(C11:N11)</f>
        <v>202734.17</v>
      </c>
    </row>
    <row r="12" spans="1:15">
      <c r="A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>
      <c r="A13" s="7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>
      <c r="A14" s="9" t="s">
        <v>13</v>
      </c>
      <c r="C14" s="10">
        <v>9101</v>
      </c>
      <c r="D14" s="10">
        <v>11657</v>
      </c>
      <c r="E14" s="10">
        <v>10357</v>
      </c>
      <c r="F14" s="10">
        <v>9648</v>
      </c>
      <c r="G14" s="10">
        <v>10645</v>
      </c>
      <c r="H14" s="10">
        <v>11308</v>
      </c>
      <c r="I14" s="10">
        <v>8929</v>
      </c>
      <c r="J14" s="10">
        <v>9590</v>
      </c>
      <c r="K14" s="10">
        <v>9201</v>
      </c>
      <c r="L14" s="10">
        <v>10062</v>
      </c>
      <c r="M14" s="10">
        <v>16201</v>
      </c>
      <c r="N14" s="10">
        <v>17307</v>
      </c>
      <c r="O14" s="8">
        <f>SUM(C14:N14)</f>
        <v>134006</v>
      </c>
    </row>
    <row r="15" spans="1:15">
      <c r="A15" s="9" t="s">
        <v>14</v>
      </c>
      <c r="C15" s="10">
        <v>424.55</v>
      </c>
      <c r="D15" s="10">
        <v>508.6</v>
      </c>
      <c r="E15" s="10">
        <v>428.65</v>
      </c>
      <c r="F15" s="10">
        <v>450.65</v>
      </c>
      <c r="G15" s="10">
        <v>515.05</v>
      </c>
      <c r="H15" s="10">
        <v>508.35</v>
      </c>
      <c r="I15" s="10">
        <v>446.6</v>
      </c>
      <c r="J15" s="10">
        <v>412.9</v>
      </c>
      <c r="K15" s="10">
        <v>499.95</v>
      </c>
      <c r="L15" s="10">
        <v>543.25</v>
      </c>
      <c r="M15" s="10">
        <v>729</v>
      </c>
      <c r="N15" s="10">
        <v>934.7</v>
      </c>
      <c r="O15" s="8">
        <f>SUM(C15:N15)</f>
        <v>6402.25</v>
      </c>
    </row>
    <row r="16" spans="1:15">
      <c r="A16" s="11" t="s">
        <v>15</v>
      </c>
      <c r="C16" s="12">
        <f>C14+C15</f>
        <v>9525.55</v>
      </c>
      <c r="D16" s="12">
        <f>D14+D15</f>
        <v>12165.6</v>
      </c>
      <c r="E16" s="12">
        <f>E14+E15</f>
        <v>10785.65</v>
      </c>
      <c r="F16" s="12">
        <f>F14+F15</f>
        <v>10098.65</v>
      </c>
      <c r="G16" s="12">
        <f>G14+G15</f>
        <v>11160.05</v>
      </c>
      <c r="H16" s="12">
        <f>H14+H15</f>
        <v>11816.35</v>
      </c>
      <c r="I16" s="12">
        <f>I14+I15</f>
        <v>9375.6</v>
      </c>
      <c r="J16" s="12">
        <f>J14+J15</f>
        <v>10002.9</v>
      </c>
      <c r="K16" s="12">
        <f>K14+K15</f>
        <v>9700.95</v>
      </c>
      <c r="L16" s="12">
        <f>L14+L15</f>
        <v>10605.25</v>
      </c>
      <c r="M16" s="12">
        <f>M14+M15</f>
        <v>16930</v>
      </c>
      <c r="N16" s="12">
        <f>N14+N15</f>
        <v>18241.7</v>
      </c>
      <c r="O16" s="12">
        <f>SUM(C16:N16)</f>
        <v>140408.25</v>
      </c>
    </row>
    <row r="17" spans="1:15">
      <c r="A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11" t="s">
        <v>16</v>
      </c>
      <c r="C18" s="12">
        <f>C11-C16</f>
        <v>4091.64</v>
      </c>
      <c r="D18" s="12">
        <f>D11-D16</f>
        <v>5220.73</v>
      </c>
      <c r="E18" s="12">
        <f>E11-E16</f>
        <v>4403.31</v>
      </c>
      <c r="F18" s="12">
        <f>F11-F16</f>
        <v>4450.92</v>
      </c>
      <c r="G18" s="12">
        <f>G11-G16</f>
        <v>4979.04</v>
      </c>
      <c r="H18" s="12">
        <f>H11-H16</f>
        <v>5145.03</v>
      </c>
      <c r="I18" s="12">
        <f>I11-I16</f>
        <v>4309.01</v>
      </c>
      <c r="J18" s="12">
        <f>J11-J16</f>
        <v>4233.83</v>
      </c>
      <c r="K18" s="12">
        <f>K11-K16</f>
        <v>4715.94</v>
      </c>
      <c r="L18" s="12">
        <f>L11-L16</f>
        <v>4997.5</v>
      </c>
      <c r="M18" s="12">
        <f>M11-M16</f>
        <v>7200.03</v>
      </c>
      <c r="N18" s="12">
        <f>N11-N16</f>
        <v>8578.94</v>
      </c>
      <c r="O18" s="12">
        <f>SUM(C18:N18)</f>
        <v>62325.92</v>
      </c>
    </row>
    <row r="19" spans="1:15">
      <c r="A19" s="13" t="s">
        <v>17</v>
      </c>
      <c r="C19" s="14">
        <f>IFERROR(C18/C11,0)</f>
        <v>0.300476089413455</v>
      </c>
      <c r="D19" s="14">
        <f>IFERROR(D18/D11,0)</f>
        <v>0.300277861975471</v>
      </c>
      <c r="E19" s="14">
        <f>IFERROR(E18/E11,0)</f>
        <v>0.289902007774067</v>
      </c>
      <c r="F19" s="14">
        <f>IFERROR(F18/F11,0)</f>
        <v>0.305914195402338</v>
      </c>
      <c r="G19" s="14">
        <f>IFERROR(G18/G11,0)</f>
        <v>0.308508100518679</v>
      </c>
      <c r="H19" s="14">
        <f>IFERROR(H18/H11,0)</f>
        <v>0.30333793594625</v>
      </c>
      <c r="I19" s="14">
        <f>IFERROR(I18/I11,0)</f>
        <v>0.314880000233839</v>
      </c>
      <c r="J19" s="14">
        <f>IFERROR(J18/J11,0)</f>
        <v>0.297387813072243</v>
      </c>
      <c r="K19" s="14">
        <f>IFERROR(K18/K11,0)</f>
        <v>0.327112158031309</v>
      </c>
      <c r="L19" s="14">
        <f>IFERROR(L18/L11,0)</f>
        <v>0.320296101648748</v>
      </c>
      <c r="M19" s="14">
        <f>IFERROR(M18/M11,0)</f>
        <v>0.298384626956535</v>
      </c>
      <c r="N19" s="14">
        <f>IFERROR(N18/N11,0)</f>
        <v>0.319863358965334</v>
      </c>
      <c r="O19" s="14">
        <f>IFERROR(O18/O11,0)</f>
        <v>0.307426814137942</v>
      </c>
    </row>
    <row r="20" spans="1:15">
      <c r="A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7" t="s">
        <v>18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9" t="s">
        <v>19</v>
      </c>
      <c r="C22" s="10">
        <v>1070.6</v>
      </c>
      <c r="D22" s="10">
        <v>1389.17</v>
      </c>
      <c r="E22" s="10">
        <v>1085</v>
      </c>
      <c r="F22" s="10">
        <v>1236.16</v>
      </c>
      <c r="G22" s="10">
        <v>1257.38</v>
      </c>
      <c r="H22" s="10">
        <v>1249.43</v>
      </c>
      <c r="I22" s="10">
        <v>1225.4</v>
      </c>
      <c r="J22" s="10">
        <v>1133.33</v>
      </c>
      <c r="K22" s="10">
        <v>912.4299999999999</v>
      </c>
      <c r="L22" s="10">
        <v>1191.23</v>
      </c>
      <c r="M22" s="10">
        <v>1772.96</v>
      </c>
      <c r="N22" s="10">
        <v>2328.01</v>
      </c>
      <c r="O22" s="8">
        <f>SUM(C22:N22)</f>
        <v>15851.1</v>
      </c>
    </row>
    <row r="23" spans="1:15">
      <c r="A23" s="9" t="s">
        <v>20</v>
      </c>
      <c r="C23" s="10">
        <v>205.33</v>
      </c>
      <c r="D23" s="10">
        <v>276.92</v>
      </c>
      <c r="E23" s="10">
        <v>260.3</v>
      </c>
      <c r="F23" s="10">
        <v>209.63</v>
      </c>
      <c r="G23" s="10">
        <v>253.99</v>
      </c>
      <c r="H23" s="10">
        <v>278.32</v>
      </c>
      <c r="I23" s="10">
        <v>187.72</v>
      </c>
      <c r="J23" s="10">
        <v>219.69</v>
      </c>
      <c r="K23" s="10">
        <v>273.3</v>
      </c>
      <c r="L23" s="10">
        <v>259.74</v>
      </c>
      <c r="M23" s="10">
        <v>399.71</v>
      </c>
      <c r="N23" s="10">
        <v>399.29</v>
      </c>
      <c r="O23" s="8">
        <f>SUM(C23:N23)</f>
        <v>3223.94</v>
      </c>
    </row>
    <row r="24" spans="1:15">
      <c r="A24" s="9" t="s">
        <v>21</v>
      </c>
      <c r="C24" s="10">
        <v>1183.1</v>
      </c>
      <c r="D24" s="10">
        <v>1524.2</v>
      </c>
      <c r="E24" s="10">
        <v>1229.8</v>
      </c>
      <c r="F24" s="10">
        <v>1232.55</v>
      </c>
      <c r="G24" s="10">
        <v>1453.35</v>
      </c>
      <c r="H24" s="10">
        <v>1434.35</v>
      </c>
      <c r="I24" s="10">
        <v>1251.55</v>
      </c>
      <c r="J24" s="10">
        <v>1249.6</v>
      </c>
      <c r="K24" s="10">
        <v>1333.85</v>
      </c>
      <c r="L24" s="10">
        <v>1440.3</v>
      </c>
      <c r="M24" s="10">
        <v>2045.7</v>
      </c>
      <c r="N24" s="10">
        <v>2556.55</v>
      </c>
      <c r="O24" s="8">
        <f>SUM(C24:N24)</f>
        <v>17934.9</v>
      </c>
    </row>
    <row r="25" spans="1:15">
      <c r="A25" s="9" t="s">
        <v>22</v>
      </c>
      <c r="C25" s="10">
        <v>454.52</v>
      </c>
      <c r="D25" s="10">
        <v>508.81</v>
      </c>
      <c r="E25" s="10">
        <v>513.47</v>
      </c>
      <c r="F25" s="10">
        <v>465.48</v>
      </c>
      <c r="G25" s="10">
        <v>433.38</v>
      </c>
      <c r="H25" s="10">
        <v>412.06</v>
      </c>
      <c r="I25" s="10">
        <v>414.77</v>
      </c>
      <c r="J25" s="10">
        <v>476.4</v>
      </c>
      <c r="K25" s="10">
        <v>484.68</v>
      </c>
      <c r="L25" s="10">
        <v>393.91</v>
      </c>
      <c r="M25" s="10">
        <v>982.24</v>
      </c>
      <c r="N25" s="10">
        <v>1214.34</v>
      </c>
      <c r="O25" s="8">
        <f>SUM(C25:N25)</f>
        <v>6754.06</v>
      </c>
    </row>
    <row r="26" spans="1:15">
      <c r="A26" s="9" t="s">
        <v>23</v>
      </c>
      <c r="C26" s="10">
        <v>68.90000000000001</v>
      </c>
      <c r="D26" s="10">
        <v>85.8</v>
      </c>
      <c r="E26" s="10">
        <v>70.2</v>
      </c>
      <c r="F26" s="10">
        <v>73.45</v>
      </c>
      <c r="G26" s="10">
        <v>85.15000000000001</v>
      </c>
      <c r="H26" s="10">
        <v>85.15000000000001</v>
      </c>
      <c r="I26" s="10">
        <v>73.45</v>
      </c>
      <c r="J26" s="10">
        <v>68.90000000000001</v>
      </c>
      <c r="K26" s="10">
        <v>78.65000000000001</v>
      </c>
      <c r="L26" s="10">
        <v>83.2</v>
      </c>
      <c r="M26" s="10">
        <v>118.3</v>
      </c>
      <c r="N26" s="10">
        <v>144.95</v>
      </c>
      <c r="O26" s="8">
        <f>SUM(C26:N26)</f>
        <v>1036.1</v>
      </c>
    </row>
    <row r="27" spans="1:15">
      <c r="A27" s="9" t="s">
        <v>24</v>
      </c>
      <c r="C27" s="10">
        <v>75.2</v>
      </c>
      <c r="D27" s="10">
        <v>75.2</v>
      </c>
      <c r="E27" s="10">
        <v>97.2</v>
      </c>
      <c r="F27" s="10">
        <v>75.2</v>
      </c>
      <c r="G27" s="10">
        <v>75.2</v>
      </c>
      <c r="H27" s="10">
        <v>75.2</v>
      </c>
      <c r="I27" s="10">
        <v>75.2</v>
      </c>
      <c r="J27" s="10">
        <v>75.2</v>
      </c>
      <c r="K27" s="10">
        <v>75.2</v>
      </c>
      <c r="L27" s="10">
        <v>75.2</v>
      </c>
      <c r="M27" s="10">
        <v>75.2</v>
      </c>
      <c r="N27" s="10">
        <v>75.2</v>
      </c>
      <c r="O27" s="8">
        <f>SUM(C27:N27)</f>
        <v>924.4</v>
      </c>
    </row>
    <row r="28" spans="1:15">
      <c r="A28" s="9" t="s">
        <v>25</v>
      </c>
      <c r="C28" s="10">
        <v>0</v>
      </c>
      <c r="D28" s="10">
        <v>0</v>
      </c>
      <c r="E28" s="10">
        <v>950</v>
      </c>
      <c r="F28" s="10">
        <v>0</v>
      </c>
      <c r="G28" s="10">
        <v>0</v>
      </c>
      <c r="H28" s="10">
        <v>20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8">
        <f>SUM(C28:N28)</f>
        <v>970</v>
      </c>
    </row>
    <row r="29" spans="1:15">
      <c r="A29" s="9" t="s">
        <v>26</v>
      </c>
      <c r="C29" s="10">
        <v>110</v>
      </c>
      <c r="D29" s="10">
        <v>0</v>
      </c>
      <c r="E29" s="10">
        <v>0</v>
      </c>
      <c r="F29" s="10">
        <v>800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8">
        <f>SUM(C29:N29)</f>
        <v>910</v>
      </c>
    </row>
    <row r="30" spans="1:15">
      <c r="A30" s="9" t="s">
        <v>27</v>
      </c>
      <c r="C30" s="10">
        <v>67</v>
      </c>
      <c r="D30" s="10">
        <v>103.43</v>
      </c>
      <c r="E30" s="10">
        <v>67</v>
      </c>
      <c r="F30" s="10">
        <v>67</v>
      </c>
      <c r="G30" s="10">
        <v>125.73</v>
      </c>
      <c r="H30" s="10">
        <v>67</v>
      </c>
      <c r="I30" s="10">
        <v>67</v>
      </c>
      <c r="J30" s="10">
        <v>119.34</v>
      </c>
      <c r="K30" s="10">
        <v>67</v>
      </c>
      <c r="L30" s="10">
        <v>67</v>
      </c>
      <c r="M30" s="10">
        <v>118.77</v>
      </c>
      <c r="N30" s="10">
        <v>67</v>
      </c>
      <c r="O30" s="8">
        <f>SUM(C30:N30)</f>
        <v>1003.27</v>
      </c>
    </row>
    <row r="31" spans="1:15">
      <c r="A31" s="9" t="s">
        <v>28</v>
      </c>
      <c r="C31" s="10">
        <v>0</v>
      </c>
      <c r="D31" s="10">
        <v>45.75</v>
      </c>
      <c r="E31" s="10">
        <v>45.75</v>
      </c>
      <c r="F31" s="10">
        <v>45.75</v>
      </c>
      <c r="G31" s="10">
        <v>45.75</v>
      </c>
      <c r="H31" s="10">
        <v>45.75</v>
      </c>
      <c r="I31" s="10">
        <v>45.75</v>
      </c>
      <c r="J31" s="10">
        <v>45.75</v>
      </c>
      <c r="K31" s="10">
        <v>45.75</v>
      </c>
      <c r="L31" s="10">
        <v>45.75</v>
      </c>
      <c r="M31" s="10">
        <v>45.75</v>
      </c>
      <c r="N31" s="10">
        <v>45.75</v>
      </c>
      <c r="O31" s="8">
        <f>SUM(C31:N31)</f>
        <v>503.25</v>
      </c>
    </row>
    <row r="32" spans="1:15">
      <c r="A32" s="11" t="s">
        <v>29</v>
      </c>
      <c r="C32" s="12">
        <f>SUM(C22:C31)</f>
        <v>3234.65</v>
      </c>
      <c r="D32" s="12">
        <f>SUM(D22:D31)</f>
        <v>4009.28</v>
      </c>
      <c r="E32" s="12">
        <f>SUM(E22:E31)</f>
        <v>4318.72</v>
      </c>
      <c r="F32" s="12">
        <f>SUM(F22:F31)</f>
        <v>4205.22</v>
      </c>
      <c r="G32" s="12">
        <f>SUM(G22:G31)</f>
        <v>3729.93</v>
      </c>
      <c r="H32" s="12">
        <f>SUM(H22:H31)</f>
        <v>3667.26</v>
      </c>
      <c r="I32" s="12">
        <f>SUM(I22:I31)</f>
        <v>3340.84</v>
      </c>
      <c r="J32" s="12">
        <f>SUM(J22:J31)</f>
        <v>3388.21</v>
      </c>
      <c r="K32" s="12">
        <f>SUM(K22:K31)</f>
        <v>3270.86</v>
      </c>
      <c r="L32" s="12">
        <f>SUM(L22:L31)</f>
        <v>3556.33</v>
      </c>
      <c r="M32" s="12">
        <f>SUM(M22:M31)</f>
        <v>5558.63</v>
      </c>
      <c r="N32" s="12">
        <f>SUM(N22:N31)</f>
        <v>6831.09</v>
      </c>
      <c r="O32" s="12">
        <f>SUM(C32:N32)</f>
        <v>49111.02</v>
      </c>
    </row>
    <row r="33" spans="1:15">
      <c r="A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11" t="s">
        <v>30</v>
      </c>
      <c r="C34" s="12">
        <f>C18-C32</f>
        <v>856.990000000002</v>
      </c>
      <c r="D34" s="12">
        <f>D18-D32</f>
        <v>1211.45</v>
      </c>
      <c r="E34" s="12">
        <f>E18-E32</f>
        <v>84.5899999999992</v>
      </c>
      <c r="F34" s="12">
        <f>F18-F32</f>
        <v>245.7</v>
      </c>
      <c r="G34" s="12">
        <f>G18-G32</f>
        <v>1249.11</v>
      </c>
      <c r="H34" s="12">
        <f>H18-H32</f>
        <v>1477.77</v>
      </c>
      <c r="I34" s="12">
        <f>I18-I32</f>
        <v>968.17</v>
      </c>
      <c r="J34" s="12">
        <f>J18-J32</f>
        <v>845.62</v>
      </c>
      <c r="K34" s="12">
        <f>K18-K32</f>
        <v>1445.08</v>
      </c>
      <c r="L34" s="12">
        <f>L18-L32</f>
        <v>1441.17</v>
      </c>
      <c r="M34" s="12">
        <f>M18-M32</f>
        <v>1641.4</v>
      </c>
      <c r="N34" s="12">
        <f>N18-N32</f>
        <v>1747.85</v>
      </c>
      <c r="O34" s="12">
        <f>SUM(C34:N34)</f>
        <v>13214.9</v>
      </c>
    </row>
    <row r="35" spans="1:15">
      <c r="A35" s="13" t="s">
        <v>31</v>
      </c>
      <c r="C35" s="14">
        <f>IFERROR(C34/C11,0)</f>
        <v>0.0629344233281611</v>
      </c>
      <c r="D35" s="14">
        <f>IFERROR(D34/D11,0)</f>
        <v>0.0696783047371123</v>
      </c>
      <c r="E35" s="14">
        <f>IFERROR(E34/E11,0)</f>
        <v>0.00556917655981708</v>
      </c>
      <c r="F35" s="14">
        <f>IFERROR(F34/F11,0)</f>
        <v>0.0168870970069906</v>
      </c>
      <c r="G35" s="14">
        <f>IFERROR(G34/G11,0)</f>
        <v>0.0773965570549517</v>
      </c>
      <c r="H35" s="14">
        <f>IFERROR(H34/H11,0)</f>
        <v>0.087125575867058</v>
      </c>
      <c r="I35" s="14">
        <f>IFERROR(I34/I11,0)</f>
        <v>0.0707488192940829</v>
      </c>
      <c r="J35" s="14">
        <f>IFERROR(J34/J11,0)</f>
        <v>0.0593970666016705</v>
      </c>
      <c r="K35" s="14">
        <f>IFERROR(K34/K11,0)</f>
        <v>0.100235210229113</v>
      </c>
      <c r="L35" s="14">
        <f>IFERROR(L34/L11,0)</f>
        <v>0.0923664097675089</v>
      </c>
      <c r="M35" s="14">
        <f>IFERROR(M34/M11,0)</f>
        <v>0.0680231230545507</v>
      </c>
      <c r="N35" s="14">
        <f>IFERROR(N34/N11,0)</f>
        <v>0.0651680944228026</v>
      </c>
      <c r="O35" s="14">
        <f>IFERROR(O34/O11,0)</f>
        <v>0.0651833876844737</v>
      </c>
    </row>
    <row r="36" spans="1:15">
      <c r="A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>
      <c r="A37" s="15" t="s">
        <v>32</v>
      </c>
      <c r="C37" s="16">
        <f>C34</f>
        <v>856.990000000002</v>
      </c>
      <c r="D37" s="16">
        <f>D34</f>
        <v>1211.45</v>
      </c>
      <c r="E37" s="16">
        <f>E34</f>
        <v>84.5899999999992</v>
      </c>
      <c r="F37" s="16">
        <f>F34</f>
        <v>245.7</v>
      </c>
      <c r="G37" s="16">
        <f>G34</f>
        <v>1249.11</v>
      </c>
      <c r="H37" s="16">
        <f>H34</f>
        <v>1477.77</v>
      </c>
      <c r="I37" s="16">
        <f>I34</f>
        <v>968.17</v>
      </c>
      <c r="J37" s="16">
        <f>J34</f>
        <v>845.62</v>
      </c>
      <c r="K37" s="16">
        <f>K34</f>
        <v>1445.08</v>
      </c>
      <c r="L37" s="16">
        <f>L34</f>
        <v>1441.17</v>
      </c>
      <c r="M37" s="16">
        <f>M34</f>
        <v>1641.4</v>
      </c>
      <c r="N37" s="16">
        <f>N34</f>
        <v>1747.85</v>
      </c>
      <c r="O37" s="16">
        <f>SUM(C37:N37)</f>
        <v>13214.9</v>
      </c>
    </row>
    <row r="38" spans="1:15">
      <c r="A38" s="13" t="s">
        <v>33</v>
      </c>
      <c r="C38" s="14">
        <f>IFERROR(C37/C11,0)</f>
        <v>0.0629344233281611</v>
      </c>
      <c r="D38" s="14">
        <f>IFERROR(D37/D11,0)</f>
        <v>0.0696783047371123</v>
      </c>
      <c r="E38" s="14">
        <f>IFERROR(E37/E11,0)</f>
        <v>0.00556917655981708</v>
      </c>
      <c r="F38" s="14">
        <f>IFERROR(F37/F11,0)</f>
        <v>0.0168870970069906</v>
      </c>
      <c r="G38" s="14">
        <f>IFERROR(G37/G11,0)</f>
        <v>0.0773965570549517</v>
      </c>
      <c r="H38" s="14">
        <f>IFERROR(H37/H11,0)</f>
        <v>0.087125575867058</v>
      </c>
      <c r="I38" s="14">
        <f>IFERROR(I37/I11,0)</f>
        <v>0.0707488192940829</v>
      </c>
      <c r="J38" s="14">
        <f>IFERROR(J37/J11,0)</f>
        <v>0.0593970666016705</v>
      </c>
      <c r="K38" s="14">
        <f>IFERROR(K37/K11,0)</f>
        <v>0.100235210229113</v>
      </c>
      <c r="L38" s="14">
        <f>IFERROR(L37/L11,0)</f>
        <v>0.0923664097675089</v>
      </c>
      <c r="M38" s="14">
        <f>IFERROR(M37/M11,0)</f>
        <v>0.0680231230545507</v>
      </c>
      <c r="N38" s="14">
        <f>IFERROR(N37/N11,0)</f>
        <v>0.0651680944228026</v>
      </c>
      <c r="O38" s="14">
        <f>IFERROR(O37/O11,0)</f>
        <v>0.0651833876844737</v>
      </c>
    </row>
    <row r="39" spans="1:15">
      <c r="A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>
      <c r="A40" s="7" t="s">
        <v>34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>
      <c r="A41" s="13" t="s">
        <v>35</v>
      </c>
      <c r="C41" s="17">
        <f>C34+C31</f>
        <v>856.990000000002</v>
      </c>
      <c r="D41" s="17">
        <f>D34+D31</f>
        <v>1257.2</v>
      </c>
      <c r="E41" s="17">
        <f>E34+E31</f>
        <v>130.339999999999</v>
      </c>
      <c r="F41" s="17">
        <f>F34+F31</f>
        <v>291.45</v>
      </c>
      <c r="G41" s="17">
        <f>G34+G31</f>
        <v>1294.86</v>
      </c>
      <c r="H41" s="17">
        <f>H34+H31</f>
        <v>1523.52</v>
      </c>
      <c r="I41" s="17">
        <f>I34+I31</f>
        <v>1013.92</v>
      </c>
      <c r="J41" s="17">
        <f>J34+J31</f>
        <v>891.37</v>
      </c>
      <c r="K41" s="17">
        <f>K34+K31</f>
        <v>1490.83</v>
      </c>
      <c r="L41" s="17">
        <f>L34+L31</f>
        <v>1486.92</v>
      </c>
      <c r="M41" s="17">
        <f>M34+M31</f>
        <v>1687.15</v>
      </c>
      <c r="N41" s="17">
        <f>N34+N31</f>
        <v>1793.6</v>
      </c>
      <c r="O41" s="17">
        <f>SUM(C41:N41)</f>
        <v>13718.15</v>
      </c>
    </row>
    <row r="42" spans="1:15">
      <c r="A42" s="13" t="s">
        <v>36</v>
      </c>
      <c r="C42" s="17">
        <f>C16+C32-C31</f>
        <v>12760.2</v>
      </c>
      <c r="D42" s="17">
        <f>D16+D32-D31</f>
        <v>16129.13</v>
      </c>
      <c r="E42" s="17">
        <f>E16+E32-E31</f>
        <v>15058.62</v>
      </c>
      <c r="F42" s="17">
        <f>F16+F32-F31</f>
        <v>14258.12</v>
      </c>
      <c r="G42" s="17">
        <f>G16+G32-G31</f>
        <v>14844.23</v>
      </c>
      <c r="H42" s="17">
        <f>H16+H32-H31</f>
        <v>15437.86</v>
      </c>
      <c r="I42" s="17">
        <f>I16+I32-I31</f>
        <v>12670.69</v>
      </c>
      <c r="J42" s="17">
        <f>J16+J32-J31</f>
        <v>13345.36</v>
      </c>
      <c r="K42" s="17">
        <f>K16+K32-K31</f>
        <v>12926.06</v>
      </c>
      <c r="L42" s="17">
        <f>L16+L32-L31</f>
        <v>14115.83</v>
      </c>
      <c r="M42" s="17">
        <f>M16+M32-M31</f>
        <v>22442.88</v>
      </c>
      <c r="N42" s="17">
        <f>N16+N32-N31</f>
        <v>25027.04</v>
      </c>
      <c r="O42" s="17">
        <f>SUM(C42:N42)</f>
        <v>189016.02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P&amp;L</vt:lpstr>
      <vt:lpstr>'Monthly P&amp;L'!Print_Titles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2026-09-27T04:21:21Z</dcterms:created>
  <dcterms:modified xsi:type="dcterms:W3CDTF">2026-09-27T04:21:21Z</dcterms:modified>
</cp:coreProperties>
</file>