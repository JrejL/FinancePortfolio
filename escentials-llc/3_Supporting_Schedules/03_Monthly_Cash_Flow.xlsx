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 CF" sheetId="1" r:id="rId1"/>
  </sheets>
  <definedNames>
    <definedName name="_xlnm.Print_Titles" localSheetId="0">'Monthly CF'!$1:$4</definedName>
  </definedNames>
  <calcPr calcId="124519" fullCalcOnLoad="1"/>
</workbook>
</file>

<file path=xl/sharedStrings.xml><?xml version="1.0" encoding="utf-8"?>
<sst xmlns="http://schemas.openxmlformats.org/spreadsheetml/2006/main" count="24" uniqueCount="24">
  <si>
    <t>Monthly Cash Flow</t>
  </si>
  <si>
    <t>Indirect method, by month. USD.</t>
  </si>
  <si>
    <t>Illustrative figures for privacy: modeled on the business's size, channels and products, not its actual results</t>
  </si>
  <si>
    <t>USD</t>
  </si>
  <si>
    <t>FY 2025</t>
  </si>
  <si>
    <t>Operating activities</t>
  </si>
  <si>
    <t>Net income</t>
  </si>
  <si>
    <t>Depreciation</t>
  </si>
  <si>
    <t>Changes in working capital</t>
  </si>
  <si>
    <t>Accounts receivable</t>
  </si>
  <si>
    <t>Inventory</t>
  </si>
  <si>
    <t>Accounts payable</t>
  </si>
  <si>
    <t>Sales tax payable</t>
  </si>
  <si>
    <t>Net cash from operating activities</t>
  </si>
  <si>
    <t>Investing activities</t>
  </si>
  <si>
    <t>Purchases of equipment</t>
  </si>
  <si>
    <t>Net cash used in investing activities</t>
  </si>
  <si>
    <t>Financing activities</t>
  </si>
  <si>
    <t>Member contributions</t>
  </si>
  <si>
    <t>Member distributions</t>
  </si>
  <si>
    <t>Net cash from financing activities</t>
  </si>
  <si>
    <t>Net change in cash</t>
  </si>
  <si>
    <t>Cash, beginning of month</t>
  </si>
  <si>
    <t>Cash, end of month</t>
  </si>
</sst>
</file>

<file path=xl/styles.xml><?xml version="1.0" encoding="utf-8"?>
<styleSheet xmlns="http://schemas.openxmlformats.org/spreadsheetml/2006/main">
  <numFmts count="2">
    <numFmt numFmtId="164" formatCode="mmm yy"/>
    <numFmt numFmtId="165" formatCode="#,##0_);(#,##0);&quot;–&quot;_)"/>
  </numFmts>
  <fonts count="10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10"/>
      <color rgb="FF595959"/>
      <name val="Arial"/>
      <family val="2"/>
    </font>
    <font>
      <i/>
      <sz val="8"/>
      <color rgb="FF595959"/>
      <name val="Arial"/>
      <family val="2"/>
    </font>
    <font>
      <b/>
      <sz val="10"/>
      <color rgb="FF1F3864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EEF3FA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8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0" borderId="0" xfId="0" applyFont="1" applyAlignment="1">
      <alignment vertical="center"/>
    </xf>
    <xf numFmtId="165" fontId="5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indent="1"/>
    </xf>
    <xf numFmtId="165" fontId="7" fillId="0" borderId="0" xfId="0" applyNumberFormat="1" applyFont="1" applyAlignment="1">
      <alignment vertical="center"/>
    </xf>
    <xf numFmtId="0" fontId="8" fillId="0" borderId="2" xfId="0" applyFont="1" applyBorder="1" applyAlignment="1">
      <alignment vertical="center"/>
    </xf>
    <xf numFmtId="165" fontId="9" fillId="0" borderId="2" xfId="0" applyNumberFormat="1" applyFont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F7F7F"/>
    <pageSetUpPr fitToPage="1"/>
  </sheetPr>
  <dimension ref="A1:O26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44.7109375" customWidth="1"/>
    <col min="2" max="2" width="1.7109375" hidden="1" customWidth="1"/>
    <col min="3" max="14" width="10.28515625" customWidth="1"/>
    <col min="15" max="15" width="11.7109375" customWidth="1"/>
  </cols>
  <sheetData>
    <row r="1" spans="1:15">
      <c r="A1" s="1" t="s">
        <v>0</v>
      </c>
    </row>
    <row r="2" spans="1:15">
      <c r="A2" s="2" t="s">
        <v>1</v>
      </c>
    </row>
    <row r="3" spans="1:15">
      <c r="A3" s="3" t="s">
        <v>2</v>
      </c>
    </row>
    <row r="4" spans="1:15">
      <c r="A4" s="4" t="s">
        <v>3</v>
      </c>
      <c r="C4" s="5">
        <v>45688</v>
      </c>
      <c r="D4" s="5">
        <v>45716</v>
      </c>
      <c r="E4" s="5">
        <v>45747</v>
      </c>
      <c r="F4" s="5">
        <v>45777</v>
      </c>
      <c r="G4" s="5">
        <v>45808</v>
      </c>
      <c r="H4" s="5">
        <v>45838</v>
      </c>
      <c r="I4" s="5">
        <v>45869</v>
      </c>
      <c r="J4" s="5">
        <v>45900</v>
      </c>
      <c r="K4" s="5">
        <v>45930</v>
      </c>
      <c r="L4" s="5">
        <v>45961</v>
      </c>
      <c r="M4" s="5">
        <v>45991</v>
      </c>
      <c r="N4" s="5">
        <v>46022</v>
      </c>
      <c r="O4" s="6" t="s">
        <v>4</v>
      </c>
    </row>
    <row r="5" spans="1:15">
      <c r="A5" s="7" t="s">
        <v>5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>
      <c r="A6" s="9" t="s">
        <v>6</v>
      </c>
      <c r="C6" s="10">
        <v>856.9900000000021</v>
      </c>
      <c r="D6" s="10">
        <v>1211.45</v>
      </c>
      <c r="E6" s="10">
        <v>84.58999999999919</v>
      </c>
      <c r="F6" s="10">
        <v>245.7</v>
      </c>
      <c r="G6" s="10">
        <v>1249.11</v>
      </c>
      <c r="H6" s="10">
        <v>1477.77</v>
      </c>
      <c r="I6" s="10">
        <v>968.17</v>
      </c>
      <c r="J6" s="10">
        <v>845.62</v>
      </c>
      <c r="K6" s="10">
        <v>1445.08</v>
      </c>
      <c r="L6" s="10">
        <v>1441.17</v>
      </c>
      <c r="M6" s="10">
        <v>1641.4</v>
      </c>
      <c r="N6" s="10">
        <v>1747.85</v>
      </c>
      <c r="O6" s="8">
        <f>SUM(C6:N6)</f>
        <v>13214.9</v>
      </c>
    </row>
    <row r="7" spans="1:15">
      <c r="A7" s="9" t="s">
        <v>7</v>
      </c>
      <c r="C7" s="10">
        <v>0</v>
      </c>
      <c r="D7" s="10">
        <v>45.75</v>
      </c>
      <c r="E7" s="10">
        <v>45.75</v>
      </c>
      <c r="F7" s="10">
        <v>45.75</v>
      </c>
      <c r="G7" s="10">
        <v>45.75</v>
      </c>
      <c r="H7" s="10">
        <v>45.75</v>
      </c>
      <c r="I7" s="10">
        <v>45.75</v>
      </c>
      <c r="J7" s="10">
        <v>45.75</v>
      </c>
      <c r="K7" s="10">
        <v>45.75</v>
      </c>
      <c r="L7" s="10">
        <v>45.75</v>
      </c>
      <c r="M7" s="10">
        <v>45.75</v>
      </c>
      <c r="N7" s="10">
        <v>45.75</v>
      </c>
      <c r="O7" s="8">
        <f>SUM(C7:N7)</f>
        <v>503.25</v>
      </c>
    </row>
    <row r="8" spans="1:15">
      <c r="A8" s="2" t="s">
        <v>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>
      <c r="A9" s="9" t="s">
        <v>9</v>
      </c>
      <c r="C9" s="10">
        <v>1056.20741935484</v>
      </c>
      <c r="D9" s="10">
        <v>-545.02849078341</v>
      </c>
      <c r="E9" s="10">
        <v>392.921716589862</v>
      </c>
      <c r="F9" s="10">
        <v>14.9423548387097</v>
      </c>
      <c r="G9" s="10">
        <v>-106.890419354839</v>
      </c>
      <c r="H9" s="10">
        <v>-134.290580645161</v>
      </c>
      <c r="I9" s="10">
        <v>371.820903225806</v>
      </c>
      <c r="J9" s="10">
        <v>-53.4309677419353</v>
      </c>
      <c r="K9" s="10">
        <v>-63.9409354838708</v>
      </c>
      <c r="L9" s="10">
        <v>-68.254548387097</v>
      </c>
      <c r="M9" s="10">
        <v>-903.059451612903</v>
      </c>
      <c r="N9" s="10">
        <v>-182.542806451613</v>
      </c>
      <c r="O9" s="8">
        <f>SUM(C9:N9)</f>
        <v>-221.545806451612</v>
      </c>
    </row>
    <row r="10" spans="1:15">
      <c r="A10" s="9" t="s">
        <v>10</v>
      </c>
      <c r="C10" s="10">
        <v>424.55</v>
      </c>
      <c r="D10" s="10">
        <v>-1891.4</v>
      </c>
      <c r="E10" s="10">
        <v>428.65</v>
      </c>
      <c r="F10" s="10">
        <v>450.65</v>
      </c>
      <c r="G10" s="10">
        <v>515.05</v>
      </c>
      <c r="H10" s="10">
        <v>-1791.65</v>
      </c>
      <c r="I10" s="10">
        <v>446.6</v>
      </c>
      <c r="J10" s="10">
        <v>412.9</v>
      </c>
      <c r="K10" s="10">
        <v>499.95</v>
      </c>
      <c r="L10" s="10">
        <v>-2656.75</v>
      </c>
      <c r="M10" s="10">
        <v>729</v>
      </c>
      <c r="N10" s="10">
        <v>934.7</v>
      </c>
      <c r="O10" s="8">
        <f>SUM(C10:N10)</f>
        <v>-1497.75</v>
      </c>
    </row>
    <row r="11" spans="1:15">
      <c r="A11" s="9" t="s">
        <v>11</v>
      </c>
      <c r="C11" s="10">
        <v>-3615.29032258065</v>
      </c>
      <c r="D11" s="10">
        <v>1841.11175115207</v>
      </c>
      <c r="E11" s="10">
        <v>-1233.3698156682</v>
      </c>
      <c r="F11" s="10">
        <v>-187.451612903225</v>
      </c>
      <c r="G11" s="10">
        <v>326.806451612903</v>
      </c>
      <c r="H11" s="10">
        <v>503.193548387097</v>
      </c>
      <c r="I11" s="10">
        <v>-1333.51612903226</v>
      </c>
      <c r="J11" s="10">
        <v>319.83870967742</v>
      </c>
      <c r="K11" s="10">
        <v>-39.822580645161</v>
      </c>
      <c r="L11" s="10">
        <v>268.209677419355</v>
      </c>
      <c r="M11" s="10">
        <v>3231.79032258065</v>
      </c>
      <c r="N11" s="10">
        <v>273.854838709678</v>
      </c>
      <c r="O11" s="8">
        <f>SUM(C11:N11)</f>
        <v>355.354838709678</v>
      </c>
    </row>
    <row r="12" spans="1:15">
      <c r="A12" s="9" t="s">
        <v>12</v>
      </c>
      <c r="C12" s="10">
        <v>-643.0599999999999</v>
      </c>
      <c r="D12" s="10">
        <v>154.04</v>
      </c>
      <c r="E12" s="10">
        <v>147.56</v>
      </c>
      <c r="F12" s="10">
        <v>-252.35</v>
      </c>
      <c r="G12" s="10">
        <v>179.16</v>
      </c>
      <c r="H12" s="10">
        <v>187.13</v>
      </c>
      <c r="I12" s="10">
        <v>-442.48</v>
      </c>
      <c r="J12" s="10">
        <v>129.38</v>
      </c>
      <c r="K12" s="10">
        <v>184.11</v>
      </c>
      <c r="L12" s="10">
        <v>-149.37</v>
      </c>
      <c r="M12" s="10">
        <v>305.03</v>
      </c>
      <c r="N12" s="10">
        <v>279.81</v>
      </c>
      <c r="O12" s="8">
        <f>SUM(C12:N12)</f>
        <v>78.9599999999999</v>
      </c>
    </row>
    <row r="13" spans="1:15">
      <c r="A13" s="11" t="s">
        <v>13</v>
      </c>
      <c r="C13" s="12">
        <f>SUM(C6:C12)</f>
        <v>-1920.6029032258</v>
      </c>
      <c r="D13" s="12">
        <f>SUM(D6:D12)</f>
        <v>815.923260368661</v>
      </c>
      <c r="E13" s="12">
        <f>SUM(E6:E12)</f>
        <v>-133.898099078342</v>
      </c>
      <c r="F13" s="12">
        <f>SUM(F6:F12)</f>
        <v>317.240741935484</v>
      </c>
      <c r="G13" s="12">
        <f>SUM(G6:G12)</f>
        <v>2208.98603225807</v>
      </c>
      <c r="H13" s="12">
        <f>SUM(H6:H12)</f>
        <v>287.902967741937</v>
      </c>
      <c r="I13" s="12">
        <f>SUM(I6:I12)</f>
        <v>56.3447741935477</v>
      </c>
      <c r="J13" s="12">
        <f>SUM(J6:J12)</f>
        <v>1700.05774193548</v>
      </c>
      <c r="K13" s="12">
        <f>SUM(K6:K12)</f>
        <v>2071.12648387097</v>
      </c>
      <c r="L13" s="12">
        <f>SUM(L6:L12)</f>
        <v>-1119.24487096774</v>
      </c>
      <c r="M13" s="12">
        <f>SUM(M6:M12)</f>
        <v>5049.91087096774</v>
      </c>
      <c r="N13" s="12">
        <f>SUM(N6:N12)</f>
        <v>3099.42203225806</v>
      </c>
      <c r="O13" s="12">
        <f>SUM(C13:N13)</f>
        <v>12433.1690322581</v>
      </c>
    </row>
    <row r="14" spans="1:15">
      <c r="A14" s="9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>
      <c r="A15" s="7" t="s">
        <v>14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>
      <c r="A16" s="9" t="s">
        <v>15</v>
      </c>
      <c r="C16" s="10">
        <v>-1647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8">
        <f>SUM(C16:N16)</f>
        <v>-1647</v>
      </c>
    </row>
    <row r="17" spans="1:15">
      <c r="A17" s="11" t="s">
        <v>16</v>
      </c>
      <c r="C17" s="12">
        <f>C16</f>
        <v>-1647</v>
      </c>
      <c r="D17" s="12">
        <f>D16</f>
        <v>0</v>
      </c>
      <c r="E17" s="12">
        <f>E16</f>
        <v>0</v>
      </c>
      <c r="F17" s="12">
        <f>F16</f>
        <v>0</v>
      </c>
      <c r="G17" s="12">
        <f>G16</f>
        <v>0</v>
      </c>
      <c r="H17" s="12">
        <f>H16</f>
        <v>0</v>
      </c>
      <c r="I17" s="12">
        <f>I16</f>
        <v>0</v>
      </c>
      <c r="J17" s="12">
        <f>J16</f>
        <v>0</v>
      </c>
      <c r="K17" s="12">
        <f>K16</f>
        <v>0</v>
      </c>
      <c r="L17" s="12">
        <f>L16</f>
        <v>0</v>
      </c>
      <c r="M17" s="12">
        <f>M16</f>
        <v>0</v>
      </c>
      <c r="N17" s="12">
        <f>N16</f>
        <v>0</v>
      </c>
      <c r="O17" s="12">
        <f>SUM(C17:N17)</f>
        <v>-1647</v>
      </c>
    </row>
    <row r="18" spans="1:15">
      <c r="A18" s="9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>
      <c r="A19" s="7" t="s">
        <v>17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>
      <c r="A20" s="9" t="s">
        <v>18</v>
      </c>
      <c r="C20" s="10">
        <v>0</v>
      </c>
      <c r="D20" s="10">
        <v>2500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8">
        <f>SUM(C20:N20)</f>
        <v>2500</v>
      </c>
    </row>
    <row r="21" spans="1:15">
      <c r="A21" s="9" t="s">
        <v>19</v>
      </c>
      <c r="C21" s="10">
        <v>-750</v>
      </c>
      <c r="D21" s="10">
        <v>-750</v>
      </c>
      <c r="E21" s="10">
        <v>-750</v>
      </c>
      <c r="F21" s="10">
        <v>-750</v>
      </c>
      <c r="G21" s="10">
        <v>-750</v>
      </c>
      <c r="H21" s="10">
        <v>-750</v>
      </c>
      <c r="I21" s="10">
        <v>-750</v>
      </c>
      <c r="J21" s="10">
        <v>-750</v>
      </c>
      <c r="K21" s="10">
        <v>-750</v>
      </c>
      <c r="L21" s="10">
        <v>-750</v>
      </c>
      <c r="M21" s="10">
        <v>-750</v>
      </c>
      <c r="N21" s="10">
        <v>-750</v>
      </c>
      <c r="O21" s="8">
        <f>SUM(C21:N21)</f>
        <v>-9000</v>
      </c>
    </row>
    <row r="22" spans="1:15">
      <c r="A22" s="11" t="s">
        <v>20</v>
      </c>
      <c r="C22" s="12">
        <f>C20+C21</f>
        <v>-750</v>
      </c>
      <c r="D22" s="12">
        <f>D20+D21</f>
        <v>1750</v>
      </c>
      <c r="E22" s="12">
        <f>E20+E21</f>
        <v>-750</v>
      </c>
      <c r="F22" s="12">
        <f>F20+F21</f>
        <v>-750</v>
      </c>
      <c r="G22" s="12">
        <f>G20+G21</f>
        <v>-750</v>
      </c>
      <c r="H22" s="12">
        <f>H20+H21</f>
        <v>-750</v>
      </c>
      <c r="I22" s="12">
        <f>I20+I21</f>
        <v>-750</v>
      </c>
      <c r="J22" s="12">
        <f>J20+J21</f>
        <v>-750</v>
      </c>
      <c r="K22" s="12">
        <f>K20+K21</f>
        <v>-750</v>
      </c>
      <c r="L22" s="12">
        <f>L20+L21</f>
        <v>-750</v>
      </c>
      <c r="M22" s="12">
        <f>M20+M21</f>
        <v>-750</v>
      </c>
      <c r="N22" s="12">
        <f>N20+N21</f>
        <v>-750</v>
      </c>
      <c r="O22" s="12">
        <f>SUM(C22:N22)</f>
        <v>-6500</v>
      </c>
    </row>
    <row r="23" spans="1:15">
      <c r="A23" s="9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>
      <c r="A24" s="11" t="s">
        <v>21</v>
      </c>
      <c r="C24" s="12">
        <f>C13+C17+C22</f>
        <v>-4317.60290322581</v>
      </c>
      <c r="D24" s="12">
        <f>D13+D17+D22</f>
        <v>2565.92326036866</v>
      </c>
      <c r="E24" s="12">
        <f>E13+E17+E22</f>
        <v>-883.898099078342</v>
      </c>
      <c r="F24" s="12">
        <f>F13+F17+F22</f>
        <v>-432.759258064516</v>
      </c>
      <c r="G24" s="12">
        <f>G13+G17+G22</f>
        <v>1458.98603225807</v>
      </c>
      <c r="H24" s="12">
        <f>H13+H17+H22</f>
        <v>-462.097032258063</v>
      </c>
      <c r="I24" s="12">
        <f>I13+I17+I22</f>
        <v>-693.655225806452</v>
      </c>
      <c r="J24" s="12">
        <f>J13+J17+J22</f>
        <v>950.057741935484</v>
      </c>
      <c r="K24" s="12">
        <f>K13+K17+K22</f>
        <v>1321.12648387097</v>
      </c>
      <c r="L24" s="12">
        <f>L13+L17+L22</f>
        <v>-1869.24487096774</v>
      </c>
      <c r="M24" s="12">
        <f>M13+M17+M22</f>
        <v>4299.91087096774</v>
      </c>
      <c r="N24" s="12">
        <f>N13+N17+N22</f>
        <v>2349.42203225806</v>
      </c>
      <c r="O24" s="12">
        <f>SUM(C24:N24)</f>
        <v>4286.16903225806</v>
      </c>
    </row>
    <row r="25" spans="1:15">
      <c r="A25" s="9" t="s">
        <v>22</v>
      </c>
      <c r="C25" s="10">
        <v>9000</v>
      </c>
      <c r="D25" s="8">
        <f>C26</f>
        <v>4682.3970967742</v>
      </c>
      <c r="E25" s="8">
        <f>D26</f>
        <v>7248.32035714286</v>
      </c>
      <c r="F25" s="8">
        <f>E26</f>
        <v>6364.42225806452</v>
      </c>
      <c r="G25" s="8">
        <f>F26</f>
        <v>5931.663</v>
      </c>
      <c r="H25" s="8">
        <f>G26</f>
        <v>7390.64903225806</v>
      </c>
      <c r="I25" s="8">
        <f>H26</f>
        <v>6928.552</v>
      </c>
      <c r="J25" s="8">
        <f>I26</f>
        <v>6234.89677419355</v>
      </c>
      <c r="K25" s="8">
        <f>J26</f>
        <v>7184.95451612903</v>
      </c>
      <c r="L25" s="8">
        <f>K26</f>
        <v>8506.081</v>
      </c>
      <c r="M25" s="8">
        <f>L26</f>
        <v>6636.83612903226</v>
      </c>
      <c r="N25" s="8">
        <f>M26</f>
        <v>10936.747</v>
      </c>
      <c r="O25" s="8">
        <f>C25</f>
        <v>9000</v>
      </c>
    </row>
    <row r="26" spans="1:15">
      <c r="A26" s="13" t="s">
        <v>23</v>
      </c>
      <c r="C26" s="14">
        <f>C25+C24</f>
        <v>4682.3970967742</v>
      </c>
      <c r="D26" s="14">
        <f>D25+D24</f>
        <v>7248.32035714286</v>
      </c>
      <c r="E26" s="14">
        <f>E25+E24</f>
        <v>6364.42225806452</v>
      </c>
      <c r="F26" s="14">
        <f>F25+F24</f>
        <v>5931.663</v>
      </c>
      <c r="G26" s="14">
        <f>G25+G24</f>
        <v>7390.64903225806</v>
      </c>
      <c r="H26" s="14">
        <f>H25+H24</f>
        <v>6928.552</v>
      </c>
      <c r="I26" s="14">
        <f>I25+I24</f>
        <v>6234.89677419355</v>
      </c>
      <c r="J26" s="14">
        <f>J25+J24</f>
        <v>7184.95451612903</v>
      </c>
      <c r="K26" s="14">
        <f>K25+K24</f>
        <v>8506.081</v>
      </c>
      <c r="L26" s="14">
        <f>L25+L24</f>
        <v>6636.83612903226</v>
      </c>
      <c r="M26" s="14">
        <f>M25+M24</f>
        <v>10936.747</v>
      </c>
      <c r="N26" s="14">
        <f>N25+N24</f>
        <v>13286.1690322581</v>
      </c>
      <c r="O26" s="14">
        <f>N26</f>
        <v>13286.1690322581</v>
      </c>
    </row>
  </sheetData>
  <pageMargins left="0.4" right="0.4" top="0.5" bottom="0.5" header="0.3" footer="0.3"/>
  <pageSetup paperSize="1" fitToHeight="0" orientation="landscape"/>
  <headerFooter>
    <oddFooter>&amp;L&amp;8Escentials LLC · FY2025 · Illustrative figures&amp;R&amp;8&amp;A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Monthly CF</vt:lpstr>
      <vt:lpstr>'Monthly CF'!Print_Titles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Escentials LLC financial statements, fiscal 2025 (illustrative figures)</dc:title>
  <dc:creator>George Murad</dc:creator>
  <dc:description>Illustrative figures for privacy: modeled on the business's size, channels and products, not its actual results</dc:description>
  <cp:lastModifiedBy>George Murad</cp:lastModifiedBy>
  <dcterms:created xsi:type="dcterms:W3CDTF">2026-09-27T04:21:25Z</dcterms:created>
  <dcterms:modified xsi:type="dcterms:W3CDTF">2026-09-27T04:21:25Z</dcterms:modified>
</cp:coreProperties>
</file>