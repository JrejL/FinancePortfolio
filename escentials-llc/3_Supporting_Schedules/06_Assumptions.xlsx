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<sst xmlns="http://schemas.openxmlformats.org/spreadsheetml/2006/main" count="37" uniqueCount="36">
  <si>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Assumptions</t>
  </si>
  <si>
    <t>Inputs are blue on yellow. Change them here and every sheet recalculates.</t>
  </si>
  <si>
    <t>Illustrative figures for privacy: modeled on the business's size, channels and products, not its actual results</t>
  </si>
  <si>
    <t>Company</t>
  </si>
  <si>
    <t>Escentials LLC</t>
  </si>
  <si>
    <t>Fiscal year</t>
  </si>
  <si>
    <t>Opening balance sheet, January 1, 2025 (carried from the prior year close)</t>
  </si>
  <si>
    <t>Cash</t>
  </si>
  <si>
    <t>Accounts receivable</t>
  </si>
  <si>
    <t>Inventory</t>
  </si>
  <si>
    <t>Equipment at cost</t>
  </si>
  <si>
    <t>Accumulated depreciation</t>
  </si>
  <si>
    <t>Accounts payable</t>
  </si>
  <si>
    <t>Sales tax payable</t>
  </si>
  <si>
    <t>Members' equity: assets less liabilities</t>
  </si>
  <si>
    <t>Working capital and equipment</t>
  </si>
  <si>
    <t>Platform payout lag: days of net revenue in transit at month end</t>
  </si>
  <si>
    <t>Supplier payment terms: days of drop ship cost unpaid at month end</t>
  </si>
  <si>
    <t>Equipment useful life in years, straight line</t>
  </si>
  <si>
    <t>Budget</t>
  </si>
  <si>
    <t>Monthly spending budget: COGS plus cash operating expenses</t>
  </si>
  <si>
    <t>Derived from 2025 results, used by the forecast</t>
  </si>
  <si>
    <t>Variable cost rate: fees, fulfillment, ads and packaging over net revenue</t>
  </si>
  <si>
    <t>Fixed costs per month: software, professional fees, taxes and G&amp;A</t>
  </si>
  <si>
    <t>FY2026 forecast scenarios</t>
  </si>
  <si>
    <t>Scenario in use: 1 = Base, 2 = Upside, 3 = Downside</t>
  </si>
  <si>
    <t>Driver</t>
  </si>
  <si>
    <t>Base</t>
  </si>
  <si>
    <t>Upside</t>
  </si>
  <si>
    <t>Downside</t>
  </si>
  <si>
    <t>In use</t>
  </si>
  <si>
    <t>Revenue growth over 2025</t>
  </si>
  <si>
    <t>Gross margin change, percentage points</t>
  </si>
  <si>
    <t>Fixed cost growth</t>
  </si>
  <si>
    <t>Member distributions per month</t>
  </si>
  <si>
    <t>Equipment purchases for the year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</si>
</sst>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_);(#,##0);&quot;–&quot;_)"/>
    <numFmt numFmtId="166" formatCode="$#,##0_);($#,##0);&quot;–&quot;_)"/>
    <numFmt numFmtId="167" formatCode="0.0%_);(0.0%);&quot;–&quot;_)"/>
  </numFmts>
  <fonts count="9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1F38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164" fontId="6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166" fontId="6" fillId="2" borderId="1" xfId="0" applyNumberFormat="1" applyFont="1" applyFill="1" applyBorder="1" applyAlignment="1">
      <alignment vertical="center"/>
    </xf>
    <xf numFmtId="167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167" fontId="6" fillId="2" borderId="1" xfId="0" applyNumberFormat="1" applyFont="1" applyFill="1" applyBorder="1" applyAlignment="1">
      <alignment vertical="center"/>
    </xf>
    <xf numFmtId="167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E38"/>
  <sheetViews>
    <sheetView tabSelected="1" workbookViewId="0"/>
  </sheetViews>
  <sheetFormatPr defaultRowHeight="15"/>
  <cols>
    <col min="1" max="1" width="70.7109375" customWidth="1"/>
    <col min="2" max="5" width="13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s="5" t="s">
        <v>3</v>
      </c>
      <c r="B6" s="6" t="s">
        <v>4</v>
      </c>
    </row>
    <row r="7" spans="1:2">
      <c r="A7" s="5" t="s">
        <v>5</v>
      </c>
      <c r="B7" s="7">
        <v>2025</v>
      </c>
    </row>
    <row r="9" spans="1:2">
      <c r="A9" s="4" t="s">
        <v>6</v>
      </c>
    </row>
    <row r="10" spans="1:2">
      <c r="A10" s="5" t="s">
        <v>7</v>
      </c>
      <c r="B10" s="8">
        <v>9000</v>
      </c>
    </row>
    <row r="11" spans="1:2">
      <c r="A11" s="5" t="s">
        <v>8</v>
      </c>
      <c r="B11" s="8">
        <v>2374</v>
      </c>
    </row>
    <row r="12" spans="1:2">
      <c r="A12" s="5" t="s">
        <v>9</v>
      </c>
      <c r="B12" s="8">
        <v>700</v>
      </c>
    </row>
    <row r="13" spans="1:2">
      <c r="A13" s="5" t="s">
        <v>10</v>
      </c>
      <c r="B13" s="8">
        <v>0</v>
      </c>
    </row>
    <row r="14" spans="1:2">
      <c r="A14" s="5" t="s">
        <v>11</v>
      </c>
      <c r="B14" s="8">
        <v>0</v>
      </c>
    </row>
    <row r="15" spans="1:2">
      <c r="A15" s="5" t="s">
        <v>12</v>
      </c>
      <c r="B15" s="8">
        <v>8019</v>
      </c>
    </row>
    <row r="16" spans="1:2">
      <c r="A16" s="5" t="s">
        <v>13</v>
      </c>
      <c r="B16" s="8">
        <v>708</v>
      </c>
    </row>
    <row r="17" spans="1:2">
      <c r="A17" s="5" t="s">
        <v>14</v>
      </c>
      <c r="B17" s="9">
        <f>B10+B11+B12+B13-B14-B15-B16</f>
        <v>3347</v>
      </c>
    </row>
    <row r="19" spans="1:2">
      <c r="A19" s="4" t="s">
        <v>15</v>
      </c>
    </row>
    <row r="20" spans="1:2">
      <c r="A20" s="5" t="s">
        <v>16</v>
      </c>
      <c r="B20" s="7">
        <v>3</v>
      </c>
    </row>
    <row r="21" spans="1:2">
      <c r="A21" s="5" t="s">
        <v>17</v>
      </c>
      <c r="B21" s="7">
        <v>15</v>
      </c>
    </row>
    <row r="22" spans="1:2">
      <c r="A22" s="5" t="s">
        <v>18</v>
      </c>
      <c r="B22" s="7">
        <v>3</v>
      </c>
    </row>
    <row r="24" spans="1:2">
      <c r="A24" s="4" t="s">
        <v>19</v>
      </c>
    </row>
    <row r="25" spans="1:2">
      <c r="A25" s="5" t="s">
        <v>20</v>
      </c>
      <c r="B25" s="10">
        <v>20000</v>
      </c>
    </row>
    <row r="27" spans="1:2">
      <c r="A27" s="4" t="s">
        <v>21</v>
      </c>
    </row>
    <row r="28" spans="1:2">
      <c r="A28" s="5" t="s">
        <v>22</v>
      </c>
      <c r="B28" s="11">
        <v>0.220979522100295</v>
      </c>
    </row>
    <row r="29" spans="1:2">
      <c r="A29" s="5" t="s">
        <v>23</v>
      </c>
      <c r="B29" s="12">
        <v>317.305833333333</v>
      </c>
    </row>
    <row r="31" spans="1:2">
      <c r="A31" s="4" t="s">
        <v>24</v>
      </c>
    </row>
    <row r="32" spans="1:2">
      <c r="A32" s="5" t="s">
        <v>25</v>
      </c>
      <c r="B32" s="7">
        <v>1</v>
      </c>
    </row>
    <row r="33" spans="1:5">
      <c r="A33" s="13" t="s">
        <v>26</v>
      </c>
      <c r="B33" s="14" t="s">
        <v>27</v>
      </c>
      <c r="C33" s="14" t="s">
        <v>28</v>
      </c>
      <c r="D33" s="14" t="s">
        <v>29</v>
      </c>
      <c r="E33" s="14" t="s">
        <v>30</v>
      </c>
    </row>
    <row r="34" spans="1:5">
      <c r="A34" s="5" t="s">
        <v>31</v>
      </c>
      <c r="B34" s="15">
        <v>0.1</v>
      </c>
      <c r="C34" s="15">
        <v>0.2</v>
      </c>
      <c r="D34" s="15">
        <v>-0.05</v>
      </c>
      <c r="E34" s="16">
        <f>CHOOSE($B$32,B34,C34,D34)</f>
        <v>0.1</v>
      </c>
    </row>
    <row r="35" spans="1:5">
      <c r="A35" s="5" t="s">
        <v>32</v>
      </c>
      <c r="B35" s="15">
        <v>0.005</v>
      </c>
      <c r="C35" s="15">
        <v>0.015</v>
      </c>
      <c r="D35" s="15">
        <v>-0.01</v>
      </c>
      <c r="E35" s="16">
        <f>CHOOSE($B$32,B35,C35,D35)</f>
        <v>0.005</v>
      </c>
    </row>
    <row r="36" spans="1:5">
      <c r="A36" s="5" t="s">
        <v>33</v>
      </c>
      <c r="B36" s="15">
        <v>0.05</v>
      </c>
      <c r="C36" s="15">
        <v>0.08</v>
      </c>
      <c r="D36" s="15">
        <v>0.03</v>
      </c>
      <c r="E36" s="16">
        <f>CHOOSE($B$32,B36,C36,D36)</f>
        <v>0.05</v>
      </c>
    </row>
    <row r="37" spans="1:5">
      <c r="A37" s="5" t="s">
        <v>34</v>
      </c>
      <c r="B37" s="8">
        <v>800</v>
      </c>
      <c r="C37" s="8">
        <v>1000</v>
      </c>
      <c r="D37" s="8">
        <v>500</v>
      </c>
      <c r="E37" s="17">
        <f>CHOOSE($B$32,B37,C37,D37)</f>
        <v>800</v>
      </c>
    </row>
    <row r="38" spans="1:5">
      <c r="A38" s="5" t="s">
        <v>35</v>
      </c>
      <c r="B38" s="8">
        <v>1200</v>
      </c>
      <c r="C38" s="8">
        <v>2500</v>
      </c>
      <c r="D38" s="8">
        <v>0</v>
      </c>
      <c r="E38" s="17">
        <f>CHOOSE($B$32,B38,C38,D38)</f>
        <v>1200</v>
      </c>
    </row>
  </sheetData>
  <dataValidations count="1">
    <dataValidation type="list" allowBlank="1" showInputMessage="1" showErrorMessage="1" sqref="B32">
      <formula1>"1,2,3"</formula1>
    </dataValidation>
  </dataValidations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2026-09-27T04:21:32Z</dcterms:created>
  <dcterms:modified xsi:type="dcterms:W3CDTF">2026-09-27T04:21:32Z</dcterms:modified>
</cp:coreProperties>
</file>