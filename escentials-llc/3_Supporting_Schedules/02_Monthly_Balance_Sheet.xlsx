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BS" sheetId="1" r:id="rId1"/>
  </sheets>
  <definedNames>
    <definedName name="_xlnm.Print_Titles" localSheetId="0">'Monthly BS'!$1:$4</definedName>
  </definedNames>
  <calcPr calcId="124519" fullCalcOnLoad="1"/>
</workbook>
</file>

<file path=xl/sharedStrings.xml><?xml version="1.0" encoding="utf-8"?>
<sst xmlns="http://schemas.openxmlformats.org/spreadsheetml/2006/main" count="19" uniqueCount="19">
  <si>
    <t>Monthly Balance Sheet</t>
  </si>
  <si>
    <t>Opening balance and every month end. USD.</t>
  </si>
  <si>
    <t>Illustrative figures for privacy: modeled on the business's size, channels and products, not its actual results</t>
  </si>
  <si>
    <t>USD</t>
  </si>
  <si>
    <t>Opening</t>
  </si>
  <si>
    <t>Assets</t>
  </si>
  <si>
    <t>Cash</t>
  </si>
  <si>
    <t>Accounts receivable</t>
  </si>
  <si>
    <t>Inventory</t>
  </si>
  <si>
    <t>Total current assets</t>
  </si>
  <si>
    <t>Equipment, net</t>
  </si>
  <si>
    <t>Total assets</t>
  </si>
  <si>
    <t>Liabilities and members' equity</t>
  </si>
  <si>
    <t>Accounts payable</t>
  </si>
  <si>
    <t>Sales tax payable</t>
  </si>
  <si>
    <t>Total liabilities</t>
  </si>
  <si>
    <t>Members' equity</t>
  </si>
  <si>
    <t>Total liabilities and members' equity</t>
  </si>
  <si>
    <t>Check: assets less liabilities and equity</t>
  </si>
</sst>
</file>

<file path=xl/styles.xml><?xml version="1.0" encoding="utf-8"?>
<styleSheet xmlns="http://schemas.openxmlformats.org/spreadsheetml/2006/main">
  <numFmts count="2">
    <numFmt numFmtId="164" formatCode="mmm yy"/>
    <numFmt numFmtId="165" formatCode="#,##0_);(#,##0);&quot;–&quot;_)"/>
  </numFmts>
  <fonts count="1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165" fontId="10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N2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4.7109375" customWidth="1"/>
    <col min="2" max="2" width="10.7109375" customWidth="1"/>
    <col min="3" max="14" width="10.28515625" customWidth="1"/>
    <col min="15" max="15" width="11.7109375" customWidth="1"/>
  </cols>
  <sheetData>
    <row r="1" spans="1:14">
      <c r="A1" s="1" t="s">
        <v>0</v>
      </c>
    </row>
    <row r="2" spans="1:14">
      <c r="A2" s="2" t="s">
        <v>1</v>
      </c>
    </row>
    <row r="3" spans="1:14">
      <c r="A3" s="3" t="s">
        <v>2</v>
      </c>
    </row>
    <row r="4" spans="1:14">
      <c r="A4" s="4" t="s">
        <v>3</v>
      </c>
      <c r="B4" s="5" t="s">
        <v>4</v>
      </c>
      <c r="C4" s="6">
        <v>45688</v>
      </c>
      <c r="D4" s="6">
        <v>45716</v>
      </c>
      <c r="E4" s="6">
        <v>45747</v>
      </c>
      <c r="F4" s="6">
        <v>45777</v>
      </c>
      <c r="G4" s="6">
        <v>45808</v>
      </c>
      <c r="H4" s="6">
        <v>45838</v>
      </c>
      <c r="I4" s="6">
        <v>45869</v>
      </c>
      <c r="J4" s="6">
        <v>45900</v>
      </c>
      <c r="K4" s="6">
        <v>45930</v>
      </c>
      <c r="L4" s="6">
        <v>45961</v>
      </c>
      <c r="M4" s="6">
        <v>45991</v>
      </c>
      <c r="N4" s="6">
        <v>46022</v>
      </c>
    </row>
    <row r="5" spans="1:14">
      <c r="A5" s="7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9" t="s">
        <v>6</v>
      </c>
      <c r="B6" s="10">
        <v>9000</v>
      </c>
      <c r="C6" s="10">
        <v>4682.3970967742</v>
      </c>
      <c r="D6" s="10">
        <v>7248.32035714286</v>
      </c>
      <c r="E6" s="10">
        <v>6364.42225806452</v>
      </c>
      <c r="F6" s="10">
        <v>5931.663</v>
      </c>
      <c r="G6" s="10">
        <v>7390.64903225806</v>
      </c>
      <c r="H6" s="10">
        <v>6928.552</v>
      </c>
      <c r="I6" s="10">
        <v>6234.89677419355</v>
      </c>
      <c r="J6" s="10">
        <v>7184.95451612903</v>
      </c>
      <c r="K6" s="10">
        <v>8506.081</v>
      </c>
      <c r="L6" s="10">
        <v>6636.83612903226</v>
      </c>
      <c r="M6" s="10">
        <v>10936.747</v>
      </c>
      <c r="N6" s="10">
        <v>13286.1690322581</v>
      </c>
    </row>
    <row r="7" spans="1:14">
      <c r="A7" s="9" t="s">
        <v>7</v>
      </c>
      <c r="B7" s="10">
        <v>2374</v>
      </c>
      <c r="C7" s="10">
        <v>1317.79258064516</v>
      </c>
      <c r="D7" s="10">
        <v>1862.82107142857</v>
      </c>
      <c r="E7" s="10">
        <v>1469.89935483871</v>
      </c>
      <c r="F7" s="10">
        <v>1454.957</v>
      </c>
      <c r="G7" s="10">
        <v>1561.84741935484</v>
      </c>
      <c r="H7" s="10">
        <v>1696.138</v>
      </c>
      <c r="I7" s="10">
        <v>1324.31709677419</v>
      </c>
      <c r="J7" s="10">
        <v>1377.74806451613</v>
      </c>
      <c r="K7" s="10">
        <v>1441.689</v>
      </c>
      <c r="L7" s="10">
        <v>1509.9435483871</v>
      </c>
      <c r="M7" s="10">
        <v>2413.003</v>
      </c>
      <c r="N7" s="10">
        <v>2595.54580645161</v>
      </c>
    </row>
    <row r="8" spans="1:14">
      <c r="A8" s="9" t="s">
        <v>8</v>
      </c>
      <c r="B8" s="10">
        <v>700</v>
      </c>
      <c r="C8" s="10">
        <v>275.45</v>
      </c>
      <c r="D8" s="10">
        <v>2166.85</v>
      </c>
      <c r="E8" s="10">
        <v>1738.2</v>
      </c>
      <c r="F8" s="10">
        <v>1287.55</v>
      </c>
      <c r="G8" s="10">
        <v>772.5</v>
      </c>
      <c r="H8" s="10">
        <v>2564.15</v>
      </c>
      <c r="I8" s="10">
        <v>2117.55</v>
      </c>
      <c r="J8" s="10">
        <v>1704.65</v>
      </c>
      <c r="K8" s="10">
        <v>1204.7</v>
      </c>
      <c r="L8" s="10">
        <v>3861.45</v>
      </c>
      <c r="M8" s="10">
        <v>3132.45</v>
      </c>
      <c r="N8" s="10">
        <v>2197.75</v>
      </c>
    </row>
    <row r="9" spans="1:14">
      <c r="A9" s="11" t="s">
        <v>9</v>
      </c>
      <c r="B9" s="12">
        <f>SUM(B6:B8)</f>
        <v>12074</v>
      </c>
      <c r="C9" s="12">
        <f>SUM(C6:C8)</f>
        <v>6275.63967741936</v>
      </c>
      <c r="D9" s="12">
        <f>SUM(D6:D8)</f>
        <v>11277.9914285714</v>
      </c>
      <c r="E9" s="12">
        <f>SUM(E6:E8)</f>
        <v>9572.52161290322</v>
      </c>
      <c r="F9" s="12">
        <f>SUM(F6:F8)</f>
        <v>8674.17</v>
      </c>
      <c r="G9" s="12">
        <f>SUM(G6:G8)</f>
        <v>9724.9964516129</v>
      </c>
      <c r="H9" s="12">
        <f>SUM(H6:H8)</f>
        <v>11188.84</v>
      </c>
      <c r="I9" s="12">
        <f>SUM(I6:I8)</f>
        <v>9676.76387096774</v>
      </c>
      <c r="J9" s="12">
        <f>SUM(J6:J8)</f>
        <v>10267.3525806452</v>
      </c>
      <c r="K9" s="12">
        <f>SUM(K6:K8)</f>
        <v>11152.47</v>
      </c>
      <c r="L9" s="12">
        <f>SUM(L6:L8)</f>
        <v>12008.2296774194</v>
      </c>
      <c r="M9" s="12">
        <f>SUM(M6:M8)</f>
        <v>16482.2</v>
      </c>
      <c r="N9" s="12">
        <f>SUM(N6:N8)</f>
        <v>18079.4648387097</v>
      </c>
    </row>
    <row r="10" spans="1:14">
      <c r="A10" s="9" t="s">
        <v>10</v>
      </c>
      <c r="B10" s="10">
        <v>0</v>
      </c>
      <c r="C10" s="10">
        <v>1647</v>
      </c>
      <c r="D10" s="10">
        <v>1601.25</v>
      </c>
      <c r="E10" s="10">
        <v>1555.5</v>
      </c>
      <c r="F10" s="10">
        <v>1509.75</v>
      </c>
      <c r="G10" s="10">
        <v>1464</v>
      </c>
      <c r="H10" s="10">
        <v>1418.25</v>
      </c>
      <c r="I10" s="10">
        <v>1372.5</v>
      </c>
      <c r="J10" s="10">
        <v>1326.75</v>
      </c>
      <c r="K10" s="10">
        <v>1281</v>
      </c>
      <c r="L10" s="10">
        <v>1235.25</v>
      </c>
      <c r="M10" s="10">
        <v>1189.5</v>
      </c>
      <c r="N10" s="10">
        <v>1143.75</v>
      </c>
    </row>
    <row r="11" spans="1:14">
      <c r="A11" s="13" t="s">
        <v>11</v>
      </c>
      <c r="B11" s="14">
        <f>B9+B10</f>
        <v>12074</v>
      </c>
      <c r="C11" s="14">
        <f>C9+C10</f>
        <v>7922.63967741936</v>
      </c>
      <c r="D11" s="14">
        <f>D9+D10</f>
        <v>12879.2414285714</v>
      </c>
      <c r="E11" s="14">
        <f>E9+E10</f>
        <v>11128.0216129032</v>
      </c>
      <c r="F11" s="14">
        <f>F9+F10</f>
        <v>10183.92</v>
      </c>
      <c r="G11" s="14">
        <f>G9+G10</f>
        <v>11188.9964516129</v>
      </c>
      <c r="H11" s="14">
        <f>H9+H10</f>
        <v>12607.09</v>
      </c>
      <c r="I11" s="14">
        <f>I9+I10</f>
        <v>11049.2638709677</v>
      </c>
      <c r="J11" s="14">
        <f>J9+J10</f>
        <v>11594.1025806452</v>
      </c>
      <c r="K11" s="14">
        <f>K9+K10</f>
        <v>12433.47</v>
      </c>
      <c r="L11" s="14">
        <f>L9+L10</f>
        <v>13243.4796774194</v>
      </c>
      <c r="M11" s="14">
        <f>M9+M10</f>
        <v>17671.7</v>
      </c>
      <c r="N11" s="14">
        <f>N9+N10</f>
        <v>19223.2148387097</v>
      </c>
    </row>
    <row r="12" spans="1:14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7" t="s">
        <v>12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9" t="s">
        <v>13</v>
      </c>
      <c r="B14" s="10">
        <v>8019</v>
      </c>
      <c r="C14" s="10">
        <v>4403.70967741936</v>
      </c>
      <c r="D14" s="10">
        <v>6244.82142857143</v>
      </c>
      <c r="E14" s="10">
        <v>5011.45161290323</v>
      </c>
      <c r="F14" s="10">
        <v>4824</v>
      </c>
      <c r="G14" s="10">
        <v>5150.8064516129</v>
      </c>
      <c r="H14" s="10">
        <v>5654</v>
      </c>
      <c r="I14" s="10">
        <v>4320.48387096774</v>
      </c>
      <c r="J14" s="10">
        <v>4640.32258064516</v>
      </c>
      <c r="K14" s="10">
        <v>4600.5</v>
      </c>
      <c r="L14" s="10">
        <v>4868.70967741936</v>
      </c>
      <c r="M14" s="10">
        <v>8100.5</v>
      </c>
      <c r="N14" s="10">
        <v>8374.35483870968</v>
      </c>
    </row>
    <row r="15" spans="1:14">
      <c r="A15" s="9" t="s">
        <v>14</v>
      </c>
      <c r="B15" s="10">
        <v>708</v>
      </c>
      <c r="C15" s="10">
        <v>64.94</v>
      </c>
      <c r="D15" s="10">
        <v>218.98</v>
      </c>
      <c r="E15" s="10">
        <v>366.54</v>
      </c>
      <c r="F15" s="10">
        <v>114.19</v>
      </c>
      <c r="G15" s="10">
        <v>293.35</v>
      </c>
      <c r="H15" s="10">
        <v>480.48</v>
      </c>
      <c r="I15" s="10">
        <v>37.9999999999999</v>
      </c>
      <c r="J15" s="10">
        <v>167.38</v>
      </c>
      <c r="K15" s="10">
        <v>351.49</v>
      </c>
      <c r="L15" s="10">
        <v>202.12</v>
      </c>
      <c r="M15" s="10">
        <v>507.15</v>
      </c>
      <c r="N15" s="10">
        <v>786.96</v>
      </c>
    </row>
    <row r="16" spans="1:14">
      <c r="A16" s="11" t="s">
        <v>15</v>
      </c>
      <c r="B16" s="12">
        <f>B14+B15</f>
        <v>8727</v>
      </c>
      <c r="C16" s="12">
        <f>C14+C15</f>
        <v>4468.64967741936</v>
      </c>
      <c r="D16" s="12">
        <f>D14+D15</f>
        <v>6463.80142857143</v>
      </c>
      <c r="E16" s="12">
        <f>E14+E15</f>
        <v>5377.99161290323</v>
      </c>
      <c r="F16" s="12">
        <f>F14+F15</f>
        <v>4938.19</v>
      </c>
      <c r="G16" s="12">
        <f>G14+G15</f>
        <v>5444.1564516129</v>
      </c>
      <c r="H16" s="12">
        <f>H14+H15</f>
        <v>6134.48</v>
      </c>
      <c r="I16" s="12">
        <f>I14+I15</f>
        <v>4358.48387096774</v>
      </c>
      <c r="J16" s="12">
        <f>J14+J15</f>
        <v>4807.70258064516</v>
      </c>
      <c r="K16" s="12">
        <f>K14+K15</f>
        <v>4951.99</v>
      </c>
      <c r="L16" s="12">
        <f>L14+L15</f>
        <v>5070.82967741936</v>
      </c>
      <c r="M16" s="12">
        <f>M14+M15</f>
        <v>8607.65</v>
      </c>
      <c r="N16" s="12">
        <f>N14+N15</f>
        <v>9161.31483870968</v>
      </c>
    </row>
    <row r="17" spans="1:14">
      <c r="A17" s="9" t="s">
        <v>16</v>
      </c>
      <c r="B17" s="10">
        <v>3347</v>
      </c>
      <c r="C17" s="10">
        <v>3453.99</v>
      </c>
      <c r="D17" s="10">
        <v>6415.44</v>
      </c>
      <c r="E17" s="10">
        <v>5750.03</v>
      </c>
      <c r="F17" s="10">
        <v>5245.73</v>
      </c>
      <c r="G17" s="10">
        <v>5744.84</v>
      </c>
      <c r="H17" s="10">
        <v>6472.61</v>
      </c>
      <c r="I17" s="10">
        <v>6690.78</v>
      </c>
      <c r="J17" s="10">
        <v>6786.4</v>
      </c>
      <c r="K17" s="10">
        <v>7481.48</v>
      </c>
      <c r="L17" s="10">
        <v>8172.65</v>
      </c>
      <c r="M17" s="10">
        <v>9064.049999999999</v>
      </c>
      <c r="N17" s="10">
        <v>10061.9</v>
      </c>
    </row>
    <row r="18" spans="1:14">
      <c r="A18" s="13" t="s">
        <v>17</v>
      </c>
      <c r="B18" s="14">
        <f>B16+B17</f>
        <v>12074</v>
      </c>
      <c r="C18" s="14">
        <f>C16+C17</f>
        <v>7922.63967741936</v>
      </c>
      <c r="D18" s="14">
        <f>D16+D17</f>
        <v>12879.2414285714</v>
      </c>
      <c r="E18" s="14">
        <f>E16+E17</f>
        <v>11128.0216129032</v>
      </c>
      <c r="F18" s="14">
        <f>F16+F17</f>
        <v>10183.92</v>
      </c>
      <c r="G18" s="14">
        <f>G16+G17</f>
        <v>11188.9964516129</v>
      </c>
      <c r="H18" s="14">
        <f>H16+H17</f>
        <v>12607.09</v>
      </c>
      <c r="I18" s="14">
        <f>I16+I17</f>
        <v>11049.2638709677</v>
      </c>
      <c r="J18" s="14">
        <f>J16+J17</f>
        <v>11594.1025806452</v>
      </c>
      <c r="K18" s="14">
        <f>K16+K17</f>
        <v>12433.47</v>
      </c>
      <c r="L18" s="14">
        <f>L16+L17</f>
        <v>13243.4796774194</v>
      </c>
      <c r="M18" s="14">
        <f>M16+M17</f>
        <v>17671.7</v>
      </c>
      <c r="N18" s="14">
        <f>N16+N17</f>
        <v>19223.2148387097</v>
      </c>
    </row>
    <row r="19" spans="1:14">
      <c r="A19" s="9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15" t="s">
        <v>18</v>
      </c>
      <c r="B20" s="16">
        <f>ROUND(B11-B18,2)</f>
        <v>0</v>
      </c>
      <c r="C20" s="16">
        <f>ROUND(C11-C18,2)</f>
        <v>0</v>
      </c>
      <c r="D20" s="16">
        <f>ROUND(D11-D18,2)</f>
        <v>0</v>
      </c>
      <c r="E20" s="16">
        <f>ROUND(E11-E18,2)</f>
        <v>0</v>
      </c>
      <c r="F20" s="16">
        <f>ROUND(F11-F18,2)</f>
        <v>0</v>
      </c>
      <c r="G20" s="16">
        <f>ROUND(G11-G18,2)</f>
        <v>0</v>
      </c>
      <c r="H20" s="16">
        <f>ROUND(H11-H18,2)</f>
        <v>0</v>
      </c>
      <c r="I20" s="16">
        <f>ROUND(I11-I18,2)</f>
        <v>0</v>
      </c>
      <c r="J20" s="16">
        <f>ROUND(J11-J18,2)</f>
        <v>0</v>
      </c>
      <c r="K20" s="16">
        <f>ROUND(K11-K18,2)</f>
        <v>0</v>
      </c>
      <c r="L20" s="16">
        <f>ROUND(L11-L18,2)</f>
        <v>0</v>
      </c>
      <c r="M20" s="16">
        <f>ROUND(M11-M18,2)</f>
        <v>0</v>
      </c>
      <c r="N20" s="16">
        <f>ROUND(N11-N18,2)</f>
        <v>0</v>
      </c>
    </row>
  </sheetData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BS</vt:lpstr>
      <vt:lpstr>'Monthly BS'!Print_Titles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2026-09-27T04:21:23Z</dcterms:created>
  <dcterms:modified xsi:type="dcterms:W3CDTF">2026-09-27T04:21:23Z</dcterms:modified>
</cp:coreProperties>
</file>