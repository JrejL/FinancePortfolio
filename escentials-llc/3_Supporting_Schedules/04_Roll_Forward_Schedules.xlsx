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s" sheetId="1" r:id="rId1"/>
  </sheets>
  <definedNames>
    <definedName name="_xlnm.Print_Titles" localSheetId="0">Schedules!$1:$4</definedName>
  </definedNames>
  <calcPr calcId="124519" fullCalcOnLoad="1"/>
</workbook>
</file>

<file path=xl/sharedStrings.xml><?xml version="1.0" encoding="utf-8"?>
<sst xmlns="http://schemas.openxmlformats.org/spreadsheetml/2006/main" count="33" uniqueCount="29">
  <si>
    <t>Schedules</t>
  </si>
  <si>
    <t>Roll forwards that feed the balance sheet. USD.</t>
  </si>
  <si>
    <t>Illustrative figures for privacy: modeled on the business's size, channels and products, not its actual results</t>
  </si>
  <si>
    <t>USD</t>
  </si>
  <si>
    <t>Opening</t>
  </si>
  <si>
    <t>FY 2025</t>
  </si>
  <si>
    <t>Equipment</t>
  </si>
  <si>
    <t>Cost, beginning</t>
  </si>
  <si>
    <t>Additions</t>
  </si>
  <si>
    <t>Cost, ending</t>
  </si>
  <si>
    <t>Accumulated depreciation, beginning</t>
  </si>
  <si>
    <t>Depreciation expense</t>
  </si>
  <si>
    <t>Accumulated depreciation, ending</t>
  </si>
  <si>
    <t>Equipment, net</t>
  </si>
  <si>
    <t>Inventory: Car Perfume bottles, fragrance oil and refills</t>
  </si>
  <si>
    <t>Beginning</t>
  </si>
  <si>
    <t>Purchases</t>
  </si>
  <si>
    <t>Cost of goods sold</t>
  </si>
  <si>
    <t>Ending</t>
  </si>
  <si>
    <t>Working capital</t>
  </si>
  <si>
    <t>Receivables: payouts in transit</t>
  </si>
  <si>
    <t>Payables: supplier drop ship charges</t>
  </si>
  <si>
    <t>Sales tax payable</t>
  </si>
  <si>
    <t>Collected on Shopify orders</t>
  </si>
  <si>
    <t>Remitted to the state</t>
  </si>
  <si>
    <t>Members' equity</t>
  </si>
  <si>
    <t>Member contributions</t>
  </si>
  <si>
    <t>Net income</t>
  </si>
  <si>
    <t>Member distributions</t>
  </si>
</sst>
</file>

<file path=xl/styles.xml><?xml version="1.0" encoding="utf-8"?>
<styleSheet xmlns="http://schemas.openxmlformats.org/spreadsheetml/2006/main">
  <numFmts count="2">
    <numFmt numFmtId="164" formatCode="mmm yy"/>
    <numFmt numFmtId="165" formatCode="#,##0_);(#,##0);&quot;–&quot;_)"/>
  </numFmts>
  <fonts count="11">
    <font>
      <sz val="11"/>
      <color theme="1"/>
      <name val="Calibri"/>
      <family val="2"/>
      <scheme val="minor"/>
    </font>
    <font>
      <b/>
      <sz val="14"/>
      <color rgb="FF1F3864"/>
      <name val="Arial"/>
      <family val="2"/>
    </font>
    <font>
      <i/>
      <sz val="10"/>
      <color rgb="FF595959"/>
      <name val="Arial"/>
      <family val="2"/>
    </font>
    <font>
      <i/>
      <sz val="8"/>
      <color rgb="FF595959"/>
      <name val="Arial"/>
      <family val="2"/>
    </font>
    <font>
      <b/>
      <sz val="10"/>
      <color rgb="FF1F3864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0000FF"/>
      <name val="Arial"/>
      <family val="2"/>
    </font>
    <font>
      <b/>
      <sz val="10"/>
      <color theme="1"/>
      <name val="Arial"/>
      <family val="2"/>
    </font>
    <font>
      <b/>
      <sz val="10"/>
      <color rgb="FF0000FF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1F3864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right" vertical="center"/>
    </xf>
    <xf numFmtId="164" fontId="4" fillId="2" borderId="1" xfId="0" applyNumberFormat="1" applyFont="1" applyFill="1" applyBorder="1" applyAlignment="1">
      <alignment horizontal="right" vertical="center"/>
    </xf>
    <xf numFmtId="0" fontId="4" fillId="0" borderId="0" xfId="0" applyFont="1" applyAlignment="1">
      <alignment vertical="center"/>
    </xf>
    <xf numFmtId="165" fontId="5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 indent="1"/>
    </xf>
    <xf numFmtId="165" fontId="7" fillId="0" borderId="0" xfId="0" applyNumberFormat="1" applyFont="1" applyAlignment="1">
      <alignment vertical="center"/>
    </xf>
    <xf numFmtId="0" fontId="8" fillId="0" borderId="2" xfId="0" applyFont="1" applyBorder="1" applyAlignment="1">
      <alignment vertical="center"/>
    </xf>
    <xf numFmtId="165" fontId="9" fillId="0" borderId="2" xfId="0" applyNumberFormat="1" applyFont="1" applyBorder="1" applyAlignment="1">
      <alignment vertical="center"/>
    </xf>
    <xf numFmtId="165" fontId="10" fillId="0" borderId="2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7F7F7F"/>
    <pageSetUpPr fitToPage="1"/>
  </sheetPr>
  <dimension ref="A1:O35"/>
  <sheetViews>
    <sheetView tabSelected="1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44.7109375" customWidth="1"/>
    <col min="2" max="2" width="10.7109375" customWidth="1"/>
    <col min="3" max="14" width="10.28515625" customWidth="1"/>
    <col min="15" max="15" width="11.7109375" customWidth="1"/>
  </cols>
  <sheetData>
    <row r="1" spans="1:15">
      <c r="A1" s="1" t="s">
        <v>0</v>
      </c>
    </row>
    <row r="2" spans="1:15">
      <c r="A2" s="2" t="s">
        <v>1</v>
      </c>
    </row>
    <row r="3" spans="1:15">
      <c r="A3" s="3" t="s">
        <v>2</v>
      </c>
    </row>
    <row r="4" spans="1:15">
      <c r="A4" s="4" t="s">
        <v>3</v>
      </c>
      <c r="B4" s="5" t="s">
        <v>4</v>
      </c>
      <c r="C4" s="6">
        <v>45688</v>
      </c>
      <c r="D4" s="6">
        <v>45716</v>
      </c>
      <c r="E4" s="6">
        <v>45747</v>
      </c>
      <c r="F4" s="6">
        <v>45777</v>
      </c>
      <c r="G4" s="6">
        <v>45808</v>
      </c>
      <c r="H4" s="6">
        <v>45838</v>
      </c>
      <c r="I4" s="6">
        <v>45869</v>
      </c>
      <c r="J4" s="6">
        <v>45900</v>
      </c>
      <c r="K4" s="6">
        <v>45930</v>
      </c>
      <c r="L4" s="6">
        <v>45961</v>
      </c>
      <c r="M4" s="6">
        <v>45991</v>
      </c>
      <c r="N4" s="6">
        <v>46022</v>
      </c>
      <c r="O4" s="5" t="s">
        <v>5</v>
      </c>
    </row>
    <row r="5" spans="1:15">
      <c r="A5" s="7" t="s">
        <v>6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15">
      <c r="A6" s="9" t="s">
        <v>7</v>
      </c>
      <c r="B6" s="8"/>
      <c r="C6" s="8">
        <f>B8</f>
        <v>0</v>
      </c>
      <c r="D6" s="8">
        <f>C8</f>
        <v>1647</v>
      </c>
      <c r="E6" s="8">
        <f>D8</f>
        <v>1647</v>
      </c>
      <c r="F6" s="8">
        <f>E8</f>
        <v>1647</v>
      </c>
      <c r="G6" s="8">
        <f>F8</f>
        <v>1647</v>
      </c>
      <c r="H6" s="8">
        <f>G8</f>
        <v>1647</v>
      </c>
      <c r="I6" s="8">
        <f>H8</f>
        <v>1647</v>
      </c>
      <c r="J6" s="8">
        <f>I8</f>
        <v>1647</v>
      </c>
      <c r="K6" s="8">
        <f>J8</f>
        <v>1647</v>
      </c>
      <c r="L6" s="8">
        <f>K8</f>
        <v>1647</v>
      </c>
      <c r="M6" s="8">
        <f>L8</f>
        <v>1647</v>
      </c>
      <c r="N6" s="8">
        <f>M8</f>
        <v>1647</v>
      </c>
      <c r="O6" s="8">
        <f>C6</f>
        <v>0</v>
      </c>
    </row>
    <row r="7" spans="1:15">
      <c r="A7" s="9" t="s">
        <v>8</v>
      </c>
      <c r="B7" s="8"/>
      <c r="C7" s="10">
        <v>1647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8">
        <f>SUM(C7:N7)</f>
        <v>1647</v>
      </c>
    </row>
    <row r="8" spans="1:15">
      <c r="A8" s="11" t="s">
        <v>9</v>
      </c>
      <c r="B8" s="12">
        <v>0</v>
      </c>
      <c r="C8" s="13">
        <f>SUM(C6:C7)</f>
        <v>1647</v>
      </c>
      <c r="D8" s="13">
        <f>SUM(D6:D7)</f>
        <v>1647</v>
      </c>
      <c r="E8" s="13">
        <f>SUM(E6:E7)</f>
        <v>1647</v>
      </c>
      <c r="F8" s="13">
        <f>SUM(F6:F7)</f>
        <v>1647</v>
      </c>
      <c r="G8" s="13">
        <f>SUM(G6:G7)</f>
        <v>1647</v>
      </c>
      <c r="H8" s="13">
        <f>SUM(H6:H7)</f>
        <v>1647</v>
      </c>
      <c r="I8" s="13">
        <f>SUM(I6:I7)</f>
        <v>1647</v>
      </c>
      <c r="J8" s="13">
        <f>SUM(J6:J7)</f>
        <v>1647</v>
      </c>
      <c r="K8" s="13">
        <f>SUM(K6:K7)</f>
        <v>1647</v>
      </c>
      <c r="L8" s="13">
        <f>SUM(L6:L7)</f>
        <v>1647</v>
      </c>
      <c r="M8" s="13">
        <f>SUM(M6:M7)</f>
        <v>1647</v>
      </c>
      <c r="N8" s="13">
        <f>SUM(N6:N7)</f>
        <v>1647</v>
      </c>
      <c r="O8" s="13">
        <f>N8</f>
        <v>1647</v>
      </c>
    </row>
    <row r="9" spans="1:15">
      <c r="A9" s="9" t="s">
        <v>10</v>
      </c>
      <c r="B9" s="8"/>
      <c r="C9" s="8">
        <f>B11</f>
        <v>0</v>
      </c>
      <c r="D9" s="8">
        <f>C11</f>
        <v>0</v>
      </c>
      <c r="E9" s="8">
        <f>D11</f>
        <v>45.75</v>
      </c>
      <c r="F9" s="8">
        <f>E11</f>
        <v>91.5</v>
      </c>
      <c r="G9" s="8">
        <f>F11</f>
        <v>137.25</v>
      </c>
      <c r="H9" s="8">
        <f>G11</f>
        <v>183</v>
      </c>
      <c r="I9" s="8">
        <f>H11</f>
        <v>228.75</v>
      </c>
      <c r="J9" s="8">
        <f>I11</f>
        <v>274.5</v>
      </c>
      <c r="K9" s="8">
        <f>J11</f>
        <v>320.25</v>
      </c>
      <c r="L9" s="8">
        <f>K11</f>
        <v>366</v>
      </c>
      <c r="M9" s="8">
        <f>L11</f>
        <v>411.75</v>
      </c>
      <c r="N9" s="8">
        <f>M11</f>
        <v>457.5</v>
      </c>
      <c r="O9" s="8">
        <f>C9</f>
        <v>0</v>
      </c>
    </row>
    <row r="10" spans="1:15">
      <c r="A10" s="9" t="s">
        <v>11</v>
      </c>
      <c r="B10" s="8"/>
      <c r="C10" s="10">
        <v>0</v>
      </c>
      <c r="D10" s="10">
        <v>45.75</v>
      </c>
      <c r="E10" s="10">
        <v>45.75</v>
      </c>
      <c r="F10" s="10">
        <v>45.75</v>
      </c>
      <c r="G10" s="10">
        <v>45.75</v>
      </c>
      <c r="H10" s="10">
        <v>45.75</v>
      </c>
      <c r="I10" s="10">
        <v>45.75</v>
      </c>
      <c r="J10" s="10">
        <v>45.75</v>
      </c>
      <c r="K10" s="10">
        <v>45.75</v>
      </c>
      <c r="L10" s="10">
        <v>45.75</v>
      </c>
      <c r="M10" s="10">
        <v>45.75</v>
      </c>
      <c r="N10" s="10">
        <v>45.75</v>
      </c>
      <c r="O10" s="8">
        <f>SUM(C10:N10)</f>
        <v>503.25</v>
      </c>
    </row>
    <row r="11" spans="1:15">
      <c r="A11" s="11" t="s">
        <v>12</v>
      </c>
      <c r="B11" s="12">
        <v>0</v>
      </c>
      <c r="C11" s="13">
        <f>SUM(C9:C10)</f>
        <v>0</v>
      </c>
      <c r="D11" s="13">
        <f>SUM(D9:D10)</f>
        <v>45.75</v>
      </c>
      <c r="E11" s="13">
        <f>SUM(E9:E10)</f>
        <v>91.5</v>
      </c>
      <c r="F11" s="13">
        <f>SUM(F9:F10)</f>
        <v>137.25</v>
      </c>
      <c r="G11" s="13">
        <f>SUM(G9:G10)</f>
        <v>183</v>
      </c>
      <c r="H11" s="13">
        <f>SUM(H9:H10)</f>
        <v>228.75</v>
      </c>
      <c r="I11" s="13">
        <f>SUM(I9:I10)</f>
        <v>274.5</v>
      </c>
      <c r="J11" s="13">
        <f>SUM(J9:J10)</f>
        <v>320.25</v>
      </c>
      <c r="K11" s="13">
        <f>SUM(K9:K10)</f>
        <v>366</v>
      </c>
      <c r="L11" s="13">
        <f>SUM(L9:L10)</f>
        <v>411.75</v>
      </c>
      <c r="M11" s="13">
        <f>SUM(M9:M10)</f>
        <v>457.5</v>
      </c>
      <c r="N11" s="13">
        <f>SUM(N9:N10)</f>
        <v>503.25</v>
      </c>
      <c r="O11" s="13">
        <f>N11</f>
        <v>503.25</v>
      </c>
    </row>
    <row r="12" spans="1:15">
      <c r="A12" s="11" t="s">
        <v>13</v>
      </c>
      <c r="B12" s="13">
        <f>B8-B11</f>
        <v>0</v>
      </c>
      <c r="C12" s="13">
        <f>C8-C11</f>
        <v>1647</v>
      </c>
      <c r="D12" s="13">
        <f>D8-D11</f>
        <v>1601.25</v>
      </c>
      <c r="E12" s="13">
        <f>E8-E11</f>
        <v>1555.5</v>
      </c>
      <c r="F12" s="13">
        <f>F8-F11</f>
        <v>1509.75</v>
      </c>
      <c r="G12" s="13">
        <f>G8-G11</f>
        <v>1464</v>
      </c>
      <c r="H12" s="13">
        <f>H8-H11</f>
        <v>1418.25</v>
      </c>
      <c r="I12" s="13">
        <f>I8-I11</f>
        <v>1372.5</v>
      </c>
      <c r="J12" s="13">
        <f>J8-J11</f>
        <v>1326.75</v>
      </c>
      <c r="K12" s="13">
        <f>K8-K11</f>
        <v>1281</v>
      </c>
      <c r="L12" s="13">
        <f>L8-L11</f>
        <v>1235.25</v>
      </c>
      <c r="M12" s="13">
        <f>M8-M11</f>
        <v>1189.5</v>
      </c>
      <c r="N12" s="13">
        <f>N8-N11</f>
        <v>1143.75</v>
      </c>
      <c r="O12" s="13">
        <f>N12</f>
        <v>1143.75</v>
      </c>
    </row>
    <row r="13" spans="1:15">
      <c r="A13" s="9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spans="1:15">
      <c r="A14" s="7" t="s">
        <v>14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>
      <c r="A15" s="9" t="s">
        <v>15</v>
      </c>
      <c r="B15" s="8"/>
      <c r="C15" s="8">
        <f>B18</f>
        <v>700</v>
      </c>
      <c r="D15" s="8">
        <f>C18</f>
        <v>275.45</v>
      </c>
      <c r="E15" s="8">
        <f>D18</f>
        <v>2166.85</v>
      </c>
      <c r="F15" s="8">
        <f>E18</f>
        <v>1738.2</v>
      </c>
      <c r="G15" s="8">
        <f>F18</f>
        <v>1287.55</v>
      </c>
      <c r="H15" s="8">
        <f>G18</f>
        <v>772.5</v>
      </c>
      <c r="I15" s="8">
        <f>H18</f>
        <v>2564.15</v>
      </c>
      <c r="J15" s="8">
        <f>I18</f>
        <v>2117.55</v>
      </c>
      <c r="K15" s="8">
        <f>J18</f>
        <v>1704.65</v>
      </c>
      <c r="L15" s="8">
        <f>K18</f>
        <v>1204.7</v>
      </c>
      <c r="M15" s="8">
        <f>L18</f>
        <v>3861.45</v>
      </c>
      <c r="N15" s="8">
        <f>M18</f>
        <v>3132.45</v>
      </c>
      <c r="O15" s="8">
        <f>C15</f>
        <v>700</v>
      </c>
    </row>
    <row r="16" spans="1:15">
      <c r="A16" s="9" t="s">
        <v>16</v>
      </c>
      <c r="B16" s="8"/>
      <c r="C16" s="10">
        <v>0</v>
      </c>
      <c r="D16" s="10">
        <v>2400</v>
      </c>
      <c r="E16" s="10">
        <v>0</v>
      </c>
      <c r="F16" s="10">
        <v>0</v>
      </c>
      <c r="G16" s="10">
        <v>0</v>
      </c>
      <c r="H16" s="10">
        <v>2300</v>
      </c>
      <c r="I16" s="10">
        <v>0</v>
      </c>
      <c r="J16" s="10">
        <v>0</v>
      </c>
      <c r="K16" s="10">
        <v>0</v>
      </c>
      <c r="L16" s="10">
        <v>3200</v>
      </c>
      <c r="M16" s="10">
        <v>0</v>
      </c>
      <c r="N16" s="10">
        <v>0</v>
      </c>
      <c r="O16" s="8">
        <f>SUM(C16:N16)</f>
        <v>7900</v>
      </c>
    </row>
    <row r="17" spans="1:15">
      <c r="A17" s="9" t="s">
        <v>17</v>
      </c>
      <c r="B17" s="8"/>
      <c r="C17" s="10">
        <v>-424.55</v>
      </c>
      <c r="D17" s="10">
        <v>-508.6</v>
      </c>
      <c r="E17" s="10">
        <v>-428.65</v>
      </c>
      <c r="F17" s="10">
        <v>-450.65</v>
      </c>
      <c r="G17" s="10">
        <v>-515.05</v>
      </c>
      <c r="H17" s="10">
        <v>-508.35</v>
      </c>
      <c r="I17" s="10">
        <v>-446.6</v>
      </c>
      <c r="J17" s="10">
        <v>-412.9</v>
      </c>
      <c r="K17" s="10">
        <v>-499.95</v>
      </c>
      <c r="L17" s="10">
        <v>-543.25</v>
      </c>
      <c r="M17" s="10">
        <v>-729</v>
      </c>
      <c r="N17" s="10">
        <v>-934.7</v>
      </c>
      <c r="O17" s="8">
        <f>SUM(C17:N17)</f>
        <v>-6402.25</v>
      </c>
    </row>
    <row r="18" spans="1:15">
      <c r="A18" s="11" t="s">
        <v>18</v>
      </c>
      <c r="B18" s="12">
        <v>700</v>
      </c>
      <c r="C18" s="13">
        <f>SUM(C15:C17)</f>
        <v>275.45</v>
      </c>
      <c r="D18" s="13">
        <f>SUM(D15:D17)</f>
        <v>2166.85</v>
      </c>
      <c r="E18" s="13">
        <f>SUM(E15:E17)</f>
        <v>1738.2</v>
      </c>
      <c r="F18" s="13">
        <f>SUM(F15:F17)</f>
        <v>1287.55</v>
      </c>
      <c r="G18" s="13">
        <f>SUM(G15:G17)</f>
        <v>772.5</v>
      </c>
      <c r="H18" s="13">
        <f>SUM(H15:H17)</f>
        <v>2564.15</v>
      </c>
      <c r="I18" s="13">
        <f>SUM(I15:I17)</f>
        <v>2117.55</v>
      </c>
      <c r="J18" s="13">
        <f>SUM(J15:J17)</f>
        <v>1704.65</v>
      </c>
      <c r="K18" s="13">
        <f>SUM(K15:K17)</f>
        <v>1204.7</v>
      </c>
      <c r="L18" s="13">
        <f>SUM(L15:L17)</f>
        <v>3861.45</v>
      </c>
      <c r="M18" s="13">
        <f>SUM(M15:M17)</f>
        <v>3132.45</v>
      </c>
      <c r="N18" s="13">
        <f>SUM(N15:N17)</f>
        <v>2197.75</v>
      </c>
      <c r="O18" s="13">
        <f>N18</f>
        <v>2197.75</v>
      </c>
    </row>
    <row r="19" spans="1:15">
      <c r="A19" s="9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spans="1:15">
      <c r="A20" s="7" t="s">
        <v>19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spans="1:15">
      <c r="A21" s="9" t="s">
        <v>20</v>
      </c>
      <c r="B21" s="10">
        <v>2374</v>
      </c>
      <c r="C21" s="10">
        <v>1317.79258064516</v>
      </c>
      <c r="D21" s="10">
        <v>1862.82107142857</v>
      </c>
      <c r="E21" s="10">
        <v>1469.89935483871</v>
      </c>
      <c r="F21" s="10">
        <v>1454.957</v>
      </c>
      <c r="G21" s="10">
        <v>1561.84741935484</v>
      </c>
      <c r="H21" s="10">
        <v>1696.138</v>
      </c>
      <c r="I21" s="10">
        <v>1324.31709677419</v>
      </c>
      <c r="J21" s="10">
        <v>1377.74806451613</v>
      </c>
      <c r="K21" s="10">
        <v>1441.689</v>
      </c>
      <c r="L21" s="10">
        <v>1509.9435483871</v>
      </c>
      <c r="M21" s="10">
        <v>2413.003</v>
      </c>
      <c r="N21" s="10">
        <v>2595.54580645161</v>
      </c>
      <c r="O21" s="8">
        <f>N21</f>
        <v>2595.54580645161</v>
      </c>
    </row>
    <row r="22" spans="1:15">
      <c r="A22" s="9" t="s">
        <v>21</v>
      </c>
      <c r="B22" s="10">
        <v>8019</v>
      </c>
      <c r="C22" s="10">
        <v>4403.70967741936</v>
      </c>
      <c r="D22" s="10">
        <v>6244.82142857143</v>
      </c>
      <c r="E22" s="10">
        <v>5011.45161290323</v>
      </c>
      <c r="F22" s="10">
        <v>4824</v>
      </c>
      <c r="G22" s="10">
        <v>5150.8064516129</v>
      </c>
      <c r="H22" s="10">
        <v>5654</v>
      </c>
      <c r="I22" s="10">
        <v>4320.48387096774</v>
      </c>
      <c r="J22" s="10">
        <v>4640.32258064516</v>
      </c>
      <c r="K22" s="10">
        <v>4600.5</v>
      </c>
      <c r="L22" s="10">
        <v>4868.70967741936</v>
      </c>
      <c r="M22" s="10">
        <v>8100.5</v>
      </c>
      <c r="N22" s="10">
        <v>8374.35483870968</v>
      </c>
      <c r="O22" s="8">
        <f>N22</f>
        <v>8374.35483870968</v>
      </c>
    </row>
    <row r="23" spans="1:15">
      <c r="A23" s="9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spans="1:15">
      <c r="A24" s="7" t="s">
        <v>22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spans="1:15">
      <c r="A25" s="9" t="s">
        <v>15</v>
      </c>
      <c r="B25" s="8"/>
      <c r="C25" s="8">
        <f>B28</f>
        <v>708</v>
      </c>
      <c r="D25" s="8">
        <f>C28</f>
        <v>64.94</v>
      </c>
      <c r="E25" s="8">
        <f>D28</f>
        <v>218.98</v>
      </c>
      <c r="F25" s="8">
        <f>E28</f>
        <v>366.54</v>
      </c>
      <c r="G25" s="8">
        <f>F28</f>
        <v>114.19</v>
      </c>
      <c r="H25" s="8">
        <f>G28</f>
        <v>293.35</v>
      </c>
      <c r="I25" s="8">
        <f>H28</f>
        <v>480.48</v>
      </c>
      <c r="J25" s="8">
        <f>I28</f>
        <v>37.9999999999999</v>
      </c>
      <c r="K25" s="8">
        <f>J28</f>
        <v>167.38</v>
      </c>
      <c r="L25" s="8">
        <f>K28</f>
        <v>351.49</v>
      </c>
      <c r="M25" s="8">
        <f>L28</f>
        <v>202.12</v>
      </c>
      <c r="N25" s="8">
        <f>M28</f>
        <v>507.15</v>
      </c>
      <c r="O25" s="8">
        <f>C25</f>
        <v>708</v>
      </c>
    </row>
    <row r="26" spans="1:15">
      <c r="A26" s="9" t="s">
        <v>23</v>
      </c>
      <c r="B26" s="8"/>
      <c r="C26" s="10">
        <v>64.94</v>
      </c>
      <c r="D26" s="10">
        <v>154.04</v>
      </c>
      <c r="E26" s="10">
        <v>147.56</v>
      </c>
      <c r="F26" s="10">
        <v>114.19</v>
      </c>
      <c r="G26" s="10">
        <v>179.16</v>
      </c>
      <c r="H26" s="10">
        <v>187.13</v>
      </c>
      <c r="I26" s="10">
        <v>38</v>
      </c>
      <c r="J26" s="10">
        <v>129.38</v>
      </c>
      <c r="K26" s="10">
        <v>184.11</v>
      </c>
      <c r="L26" s="10">
        <v>202.12</v>
      </c>
      <c r="M26" s="10">
        <v>305.03</v>
      </c>
      <c r="N26" s="10">
        <v>279.81</v>
      </c>
      <c r="O26" s="8">
        <f>SUM(C26:N26)</f>
        <v>1985.47</v>
      </c>
    </row>
    <row r="27" spans="1:15">
      <c r="A27" s="9" t="s">
        <v>24</v>
      </c>
      <c r="B27" s="8"/>
      <c r="C27" s="10">
        <v>-708</v>
      </c>
      <c r="D27" s="10">
        <v>0</v>
      </c>
      <c r="E27" s="10">
        <v>0</v>
      </c>
      <c r="F27" s="10">
        <v>-366.54</v>
      </c>
      <c r="G27" s="10">
        <v>0</v>
      </c>
      <c r="H27" s="10">
        <v>0</v>
      </c>
      <c r="I27" s="10">
        <v>-480.48</v>
      </c>
      <c r="J27" s="10">
        <v>0</v>
      </c>
      <c r="K27" s="10">
        <v>0</v>
      </c>
      <c r="L27" s="10">
        <v>-351.49</v>
      </c>
      <c r="M27" s="10">
        <v>0</v>
      </c>
      <c r="N27" s="10">
        <v>0</v>
      </c>
      <c r="O27" s="8">
        <f>SUM(C27:N27)</f>
        <v>-1906.51</v>
      </c>
    </row>
    <row r="28" spans="1:15">
      <c r="A28" s="11" t="s">
        <v>18</v>
      </c>
      <c r="B28" s="12">
        <v>708</v>
      </c>
      <c r="C28" s="13">
        <f>SUM(C25:C27)</f>
        <v>64.94</v>
      </c>
      <c r="D28" s="13">
        <f>SUM(D25:D27)</f>
        <v>218.98</v>
      </c>
      <c r="E28" s="13">
        <f>SUM(E25:E27)</f>
        <v>366.54</v>
      </c>
      <c r="F28" s="13">
        <f>SUM(F25:F27)</f>
        <v>114.19</v>
      </c>
      <c r="G28" s="13">
        <f>SUM(G25:G27)</f>
        <v>293.35</v>
      </c>
      <c r="H28" s="13">
        <f>SUM(H25:H27)</f>
        <v>480.48</v>
      </c>
      <c r="I28" s="13">
        <f>SUM(I25:I27)</f>
        <v>37.9999999999999</v>
      </c>
      <c r="J28" s="13">
        <f>SUM(J25:J27)</f>
        <v>167.38</v>
      </c>
      <c r="K28" s="13">
        <f>SUM(K25:K27)</f>
        <v>351.49</v>
      </c>
      <c r="L28" s="13">
        <f>SUM(L25:L27)</f>
        <v>202.12</v>
      </c>
      <c r="M28" s="13">
        <f>SUM(M25:M27)</f>
        <v>507.15</v>
      </c>
      <c r="N28" s="13">
        <f>SUM(N25:N27)</f>
        <v>786.96</v>
      </c>
      <c r="O28" s="13">
        <f>N28</f>
        <v>786.96</v>
      </c>
    </row>
    <row r="29" spans="1:15">
      <c r="A29" s="9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</row>
    <row r="30" spans="1:15">
      <c r="A30" s="7" t="s">
        <v>25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</row>
    <row r="31" spans="1:15">
      <c r="A31" s="9" t="s">
        <v>15</v>
      </c>
      <c r="B31" s="8"/>
      <c r="C31" s="8">
        <f>B35</f>
        <v>3347</v>
      </c>
      <c r="D31" s="8">
        <f>C35</f>
        <v>3453.99</v>
      </c>
      <c r="E31" s="8">
        <f>D35</f>
        <v>6415.44</v>
      </c>
      <c r="F31" s="8">
        <f>E35</f>
        <v>5750.03</v>
      </c>
      <c r="G31" s="8">
        <f>F35</f>
        <v>5245.73</v>
      </c>
      <c r="H31" s="8">
        <f>G35</f>
        <v>5744.84</v>
      </c>
      <c r="I31" s="8">
        <f>H35</f>
        <v>6472.61</v>
      </c>
      <c r="J31" s="8">
        <f>I35</f>
        <v>6690.78</v>
      </c>
      <c r="K31" s="8">
        <f>J35</f>
        <v>6786.4</v>
      </c>
      <c r="L31" s="8">
        <f>K35</f>
        <v>7481.48</v>
      </c>
      <c r="M31" s="8">
        <f>L35</f>
        <v>8172.65</v>
      </c>
      <c r="N31" s="8">
        <f>M35</f>
        <v>9064.05</v>
      </c>
      <c r="O31" s="8">
        <f>C31</f>
        <v>3347</v>
      </c>
    </row>
    <row r="32" spans="1:15">
      <c r="A32" s="9" t="s">
        <v>26</v>
      </c>
      <c r="B32" s="8"/>
      <c r="C32" s="10">
        <v>0</v>
      </c>
      <c r="D32" s="10">
        <v>2500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8">
        <f>SUM(C32:N32)</f>
        <v>2500</v>
      </c>
    </row>
    <row r="33" spans="1:15">
      <c r="A33" s="9" t="s">
        <v>27</v>
      </c>
      <c r="B33" s="8"/>
      <c r="C33" s="10">
        <v>856.9900000000021</v>
      </c>
      <c r="D33" s="10">
        <v>1211.45</v>
      </c>
      <c r="E33" s="10">
        <v>84.58999999999919</v>
      </c>
      <c r="F33" s="10">
        <v>245.7</v>
      </c>
      <c r="G33" s="10">
        <v>1249.11</v>
      </c>
      <c r="H33" s="10">
        <v>1477.77</v>
      </c>
      <c r="I33" s="10">
        <v>968.17</v>
      </c>
      <c r="J33" s="10">
        <v>845.62</v>
      </c>
      <c r="K33" s="10">
        <v>1445.08</v>
      </c>
      <c r="L33" s="10">
        <v>1441.17</v>
      </c>
      <c r="M33" s="10">
        <v>1641.4</v>
      </c>
      <c r="N33" s="10">
        <v>1747.85</v>
      </c>
      <c r="O33" s="8">
        <f>SUM(C33:N33)</f>
        <v>13214.9</v>
      </c>
    </row>
    <row r="34" spans="1:15">
      <c r="A34" s="9" t="s">
        <v>28</v>
      </c>
      <c r="B34" s="8"/>
      <c r="C34" s="10">
        <v>-750</v>
      </c>
      <c r="D34" s="10">
        <v>-750</v>
      </c>
      <c r="E34" s="10">
        <v>-750</v>
      </c>
      <c r="F34" s="10">
        <v>-750</v>
      </c>
      <c r="G34" s="10">
        <v>-750</v>
      </c>
      <c r="H34" s="10">
        <v>-750</v>
      </c>
      <c r="I34" s="10">
        <v>-750</v>
      </c>
      <c r="J34" s="10">
        <v>-750</v>
      </c>
      <c r="K34" s="10">
        <v>-750</v>
      </c>
      <c r="L34" s="10">
        <v>-750</v>
      </c>
      <c r="M34" s="10">
        <v>-750</v>
      </c>
      <c r="N34" s="10">
        <v>-750</v>
      </c>
      <c r="O34" s="8">
        <f>SUM(C34:N34)</f>
        <v>-9000</v>
      </c>
    </row>
    <row r="35" spans="1:15">
      <c r="A35" s="11" t="s">
        <v>18</v>
      </c>
      <c r="B35" s="12">
        <v>3347</v>
      </c>
      <c r="C35" s="13">
        <f>SUM(C31:C34)</f>
        <v>3453.99</v>
      </c>
      <c r="D35" s="13">
        <f>SUM(D31:D34)</f>
        <v>6415.44</v>
      </c>
      <c r="E35" s="13">
        <f>SUM(E31:E34)</f>
        <v>5750.03</v>
      </c>
      <c r="F35" s="13">
        <f>SUM(F31:F34)</f>
        <v>5245.73</v>
      </c>
      <c r="G35" s="13">
        <f>SUM(G31:G34)</f>
        <v>5744.84</v>
      </c>
      <c r="H35" s="13">
        <f>SUM(H31:H34)</f>
        <v>6472.61</v>
      </c>
      <c r="I35" s="13">
        <f>SUM(I31:I34)</f>
        <v>6690.78</v>
      </c>
      <c r="J35" s="13">
        <f>SUM(J31:J34)</f>
        <v>6786.4</v>
      </c>
      <c r="K35" s="13">
        <f>SUM(K31:K34)</f>
        <v>7481.48</v>
      </c>
      <c r="L35" s="13">
        <f>SUM(L31:L34)</f>
        <v>8172.65</v>
      </c>
      <c r="M35" s="13">
        <f>SUM(M31:M34)</f>
        <v>9064.05</v>
      </c>
      <c r="N35" s="13">
        <f>SUM(N31:N34)</f>
        <v>10061.9</v>
      </c>
      <c r="O35" s="13">
        <f>N35</f>
        <v>10061.9</v>
      </c>
    </row>
  </sheetData>
  <pageMargins left="0.4" right="0.4" top="0.5" bottom="0.5" header="0.3" footer="0.3"/>
  <pageSetup paperSize="1" fitToHeight="0" orientation="landscape"/>
  <headerFooter>
    <oddFooter>&amp;L&amp;8Escentials LLC · FY2025 · Illustrative figures&amp;R&amp;8&amp;A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Schedules</vt:lpstr>
      <vt:lpstr>Schedules!Print_Titles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Escentials LLC financial statements, fiscal 2025 (illustrative figures)</dc:title>
  <dc:creator>George Murad</dc:creator>
  <dc:description>Illustrative figures for privacy: modeled on the business's size, channels and products, not its actual results</dc:description>
  <cp:lastModifiedBy>George Murad</cp:lastModifiedBy>
  <dcterms:created xsi:type="dcterms:W3CDTF">2026-09-27T04:21:27Z</dcterms:created>
  <dcterms:modified xsi:type="dcterms:W3CDTF">2026-09-27T04:21:27Z</dcterms:modified>
</cp:coreProperties>
</file>