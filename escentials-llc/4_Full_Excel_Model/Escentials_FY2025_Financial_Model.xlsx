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Income Statement" sheetId="2" r:id="rId2"/>
    <sheet name="Balance Sheet" sheetId="3" r:id="rId3"/>
    <sheet name="Cash Flows" sheetId="4" r:id="rId4"/>
    <sheet name="Equity Statement" sheetId="5" r:id="rId5"/>
    <sheet name="Notes" sheetId="6" r:id="rId6"/>
    <sheet name="Budget vs Actual" sheetId="7" r:id="rId7"/>
    <sheet name="Forecast" sheetId="8" r:id="rId8"/>
    <sheet name="KPIs" sheetId="9" r:id="rId9"/>
    <sheet name="SQL Analysis" sheetId="10" r:id="rId10"/>
    <sheet name="Monthly P&amp;L" sheetId="11" r:id="rId11"/>
    <sheet name="Monthly BS" sheetId="12" r:id="rId12"/>
    <sheet name="Monthly CF" sheetId="13" r:id="rId13"/>
    <sheet name="Schedules" sheetId="14" r:id="rId14"/>
    <sheet name="Budget" sheetId="15" r:id="rId15"/>
    <sheet name="Assumptions" sheetId="16" r:id="rId16"/>
    <sheet name="Data" sheetId="17" r:id="rId17"/>
    <sheet name="Checks" sheetId="18" r:id="rId18"/>
  </sheets>
  <definedNames>
    <definedName name="_xlnm.Print_Area" localSheetId="8">KPIs!$A$1:$O$62</definedName>
    <definedName name="_xlnm.Print_Titles" localSheetId="14">Budget!$1:$4</definedName>
    <definedName name="_xlnm.Print_Titles" localSheetId="16">Data!$1:$4</definedName>
    <definedName name="_xlnm.Print_Titles" localSheetId="7">Forecast!$1:$4</definedName>
    <definedName name="_xlnm.Print_Titles" localSheetId="11">'Monthly BS'!$1:$4</definedName>
    <definedName name="_xlnm.Print_Titles" localSheetId="12">'Monthly CF'!$1:$4</definedName>
    <definedName name="_xlnm.Print_Titles" localSheetId="10">'Monthly P&amp;L'!$1:$4</definedName>
    <definedName name="_xlnm.Print_Titles" localSheetId="13">Schedules!$1:$4</definedName>
  </definedNames>
  <calcPr calcId="124519" fullCalcOnLoad="1"/>
</workbook>
</file>

<file path=xl/sharedStrings.xml><?xml version="1.0" encoding="utf-8"?>
<sst xmlns="http://schemas.openxmlformats.org/spreadsheetml/2006/main" count="591" uniqueCount="371">
  <si>
    <t>Escentials LLC</t>
  </si>
  <si>
    <t>Financial Statements and FP&amp;A Pack</t>
  </si>
  <si>
    <t>Fiscal year ended December 31, 2025  ·  USD  ·  unaudited</t>
  </si>
  <si>
    <t>Illustrative figures for privacy. They are modeled on the business's size, sales channels and products, and are not its actual results.</t>
  </si>
  <si>
    <t>Model status</t>
  </si>
  <si>
    <t>Contents</t>
  </si>
  <si>
    <t>Income Statement</t>
  </si>
  <si>
    <t>Statement of operations for 2025</t>
  </si>
  <si>
    <t>Balance Sheet</t>
  </si>
  <si>
    <t>Financial position at December 31, 2025, with the January 1 opening balance</t>
  </si>
  <si>
    <t>Cash Flows</t>
  </si>
  <si>
    <t>Statement of cash flows, indirect method</t>
  </si>
  <si>
    <t>Equity Statement</t>
  </si>
  <si>
    <t>Statement of changes in members' equity</t>
  </si>
  <si>
    <t>Notes</t>
  </si>
  <si>
    <t>Accounting policies and supporting detail</t>
  </si>
  <si>
    <t>Budget vs Actual</t>
  </si>
  <si>
    <t>Forecast</t>
  </si>
  <si>
    <t>FY2026 monthly forecast with Base, Upside and Downside scenarios</t>
  </si>
  <si>
    <t>KPIs</t>
  </si>
  <si>
    <t>Monthly KPIs with four charts</t>
  </si>
  <si>
    <t>SQL Analysis</t>
  </si>
  <si>
    <t>Results of the analysis queries in 5_SQLite_Database/queries/, with charts</t>
  </si>
  <si>
    <t>Monthly P&amp;L</t>
  </si>
  <si>
    <t>Income statement by month</t>
  </si>
  <si>
    <t>Monthly BS</t>
  </si>
  <si>
    <t>Balance sheet at the opening and every month end</t>
  </si>
  <si>
    <t>Monthly CF</t>
  </si>
  <si>
    <t>Cash flow by month</t>
  </si>
  <si>
    <t>Schedules</t>
  </si>
  <si>
    <t>Roll forwards: equipment, inventory, receivables, payables, sales tax, equity</t>
  </si>
  <si>
    <t>Budget</t>
  </si>
  <si>
    <t>The monthly budget by line</t>
  </si>
  <si>
    <t>Assumptions</t>
  </si>
  <si>
    <t>Every input in one place</t>
  </si>
  <si>
    <t>Data</t>
  </si>
  <si>
    <t>The monthly SQL pull that feeds the model</t>
  </si>
  <si>
    <t>Checks</t>
  </si>
  <si>
    <t>Integrity checks: every one must read OK</t>
  </si>
  <si>
    <t>Color code</t>
  </si>
  <si>
    <t>Blue: an input, or data pulled from the database with SQL</t>
  </si>
  <si>
    <t>Black: a formula working within its own sheet</t>
  </si>
  <si>
    <t>Green: a formula linking to another sheet (this one pulls the monthly budget from Assumptions)</t>
  </si>
  <si>
    <t>Yellow fill: a key assumption, the place to change the model</t>
  </si>
  <si>
    <t>How it is built</t>
  </si>
  <si>
    <t>Transactions sit in a SQLite database, 5_SQLite_Database/escentials.db: orders, order lines, refunds, expenses and owner transactions.</t>
  </si>
  <si>
    <t>SQL</t>
  </si>
  <si>
    <t>Queries in 5_SQLite_Database/queries/ summarize them by month, and the results land on the Data sheet.</t>
  </si>
  <si>
    <t>Model</t>
  </si>
  <si>
    <t>Every statement is a live formula that traces back to the Data sheet, so changing an input updates the whole pack.</t>
  </si>
  <si>
    <t>The Checks sheet proves it ties: the balance sheet balances every month, cash flow agrees with the balance sheet, and sales agree with SQL control totals.</t>
  </si>
  <si>
    <t>Tools</t>
  </si>
  <si>
    <t>Excel, SQL (SQLite), Tableau and PowerPoint.</t>
  </si>
  <si>
    <t>Prepared by</t>
  </si>
  <si>
    <t>George Murad</t>
  </si>
  <si>
    <t>Statement of Operations</t>
  </si>
  <si>
    <t>For the year ended December 31, 2025</t>
  </si>
  <si>
    <t>Unaudited. Illustrative figures for privacy: modeled on the business's size, channels and products, not its actual results.</t>
  </si>
  <si>
    <t>USD</t>
  </si>
  <si>
    <t>2025</t>
  </si>
  <si>
    <t>% of net revenue</t>
  </si>
  <si>
    <t>Revenue</t>
  </si>
  <si>
    <t>Merchandise sales</t>
  </si>
  <si>
    <t>Shipping income</t>
  </si>
  <si>
    <t>Less: discounts, returns and refunds</t>
  </si>
  <si>
    <t>Net revenue</t>
  </si>
  <si>
    <t>Cost of goods sold</t>
  </si>
  <si>
    <t>Gross profit</t>
  </si>
  <si>
    <t>Operating expenses</t>
  </si>
  <si>
    <t>Marketplace fees</t>
  </si>
  <si>
    <t>Payment processing</t>
  </si>
  <si>
    <t>Shipping and fulfillment</t>
  </si>
  <si>
    <t>Advertising and marketing</t>
  </si>
  <si>
    <t>Packaging and supplies</t>
  </si>
  <si>
    <t>Software and subscriptions</t>
  </si>
  <si>
    <t>Professional fees</t>
  </si>
  <si>
    <t>Taxes and licenses</t>
  </si>
  <si>
    <t>General and administrative</t>
  </si>
  <si>
    <t>Depreciation</t>
  </si>
  <si>
    <t>Total operating expenses</t>
  </si>
  <si>
    <t>Operating income</t>
  </si>
  <si>
    <t>Net income</t>
  </si>
  <si>
    <t>No income tax is recorded: the LLC is taxed as a pass through entity (Note 7).</t>
  </si>
  <si>
    <t>See the accompanying notes.</t>
  </si>
  <si>
    <t>December 31, 2025, with the opening balance at January 1, 2025</t>
  </si>
  <si>
    <t>Dec 31, 2025</t>
  </si>
  <si>
    <t>Jan 1, 2025</t>
  </si>
  <si>
    <t>Assets</t>
  </si>
  <si>
    <t>Current assets</t>
  </si>
  <si>
    <t>Cash</t>
  </si>
  <si>
    <t>Accounts receivable</t>
  </si>
  <si>
    <t>Inventory</t>
  </si>
  <si>
    <t>Total current assets</t>
  </si>
  <si>
    <t>Equipment, net of accumulated depreciation</t>
  </si>
  <si>
    <t>Total assets</t>
  </si>
  <si>
    <t>Liabilities and members' equity</t>
  </si>
  <si>
    <t>Current liabilities</t>
  </si>
  <si>
    <t>Accounts payable</t>
  </si>
  <si>
    <t>Sales tax payable</t>
  </si>
  <si>
    <t>Total liabilities</t>
  </si>
  <si>
    <t>Members' equity</t>
  </si>
  <si>
    <t>Total liabilities and members' equity</t>
  </si>
  <si>
    <t>Statement of Cash Flows</t>
  </si>
  <si>
    <t>For the year ended December 31, 2025 (indirect method)</t>
  </si>
  <si>
    <t>Cash flows from operating activities</t>
  </si>
  <si>
    <t>Adjustments to reconcile net income to net cash from operating activities:</t>
  </si>
  <si>
    <t>Changes in operating assets and liabilities:</t>
  </si>
  <si>
    <t>Net cash from operating activities</t>
  </si>
  <si>
    <t>Cash flows from investing activities</t>
  </si>
  <si>
    <t>Purchases of equipment</t>
  </si>
  <si>
    <t>Net cash used in investing activities</t>
  </si>
  <si>
    <t>Cash flows from financing activities</t>
  </si>
  <si>
    <t>Member contributions</t>
  </si>
  <si>
    <t>Member distributions</t>
  </si>
  <si>
    <t>Net cash from financing activities</t>
  </si>
  <si>
    <t>Net change in cash</t>
  </si>
  <si>
    <t>Cash, beginning of year</t>
  </si>
  <si>
    <t>Cash, end of year</t>
  </si>
  <si>
    <t>Statement of Changes in Members' Equity</t>
  </si>
  <si>
    <t>Balance, January 1, 2025</t>
  </si>
  <si>
    <t>Balance, December 31, 2025</t>
  </si>
  <si>
    <t>Notes to the Financial Statements</t>
  </si>
  <si>
    <t>1. Organization and nature of business</t>
  </si>
  <si>
    <t>Escentials LLC (the Company) is a limited liability company. It sells authentic designer fragrance online through eBay and its own Shopify store, and sells its own Car Perfume line: hanging glass bottles and refills.</t>
  </si>
  <si>
    <t>2. Basis of presentation</t>
  </si>
  <si>
    <t>These statements are prepared on the accrual basis under accounting principles generally accepted in the United States (US GAAP). They are unaudited and prepared by management. The figures are illustrative: they are modeled on the Company's size, sales channels and products, and are not its actual results, which are kept private.</t>
  </si>
  <si>
    <t>3. Use of estimates</t>
  </si>
  <si>
    <t>Preparing financial statements requires estimates, including returns, the value of inventory and the useful life of equipment. Actual results could differ.</t>
  </si>
  <si>
    <t>4. Revenue recognition</t>
  </si>
  <si>
    <t>Revenue is recognized under ASC 606 when control of a product passes to the customer, at shipment, and is reported net of discounts and refunds. For drop shipped designer fragrance the Company is the principal: it sets the price, accepts the order and handles returns, so it reports those sales gross and the supplier's charge as cost of goods sold. Shipping charged to customers is revenue; shipping and handling costs are fulfillment costs within operating expenses. Sales tax collected on Shopify orders is a liability, not revenue; eBay collects and remits the tax on eBay orders as the marketplace facilitator.</t>
  </si>
  <si>
    <t>5. Inventory</t>
  </si>
  <si>
    <t>6. Equipment</t>
  </si>
  <si>
    <t>7. Income taxes</t>
  </si>
  <si>
    <t>The Company is a limited liability company taxed as a pass through entity: its income is reported on its member's tax return, so these statements include no provision for income taxes. The Company pays California's $800 annual LLC tax, included in taxes and licenses.</t>
  </si>
  <si>
    <t>8. Advertising</t>
  </si>
  <si>
    <t>9. Member transactions</t>
  </si>
  <si>
    <t>10. Concentrations</t>
  </si>
  <si>
    <t>11. Subsequent events</t>
  </si>
  <si>
    <t>Subsequent events were evaluated through the date these statements were issued.</t>
  </si>
  <si>
    <t>Spending against budget, fiscal 2025. Variance is budget less actual: positive means under budget.</t>
  </si>
  <si>
    <t>Illustrative figures for privacy: modeled on the business's size, channels and products, not its actual results</t>
  </si>
  <si>
    <t>By line, full year</t>
  </si>
  <si>
    <t>Line</t>
  </si>
  <si>
    <t>Actual</t>
  </si>
  <si>
    <t>Variance</t>
  </si>
  <si>
    <t>Variance %</t>
  </si>
  <si>
    <t>Status</t>
  </si>
  <si>
    <t>Designer fragrance COGS</t>
  </si>
  <si>
    <t>Car Perfume and refills COGS</t>
  </si>
  <si>
    <t>Total spending</t>
  </si>
  <si>
    <t>By month</t>
  </si>
  <si>
    <t>Month</t>
  </si>
  <si>
    <t>Utilization</t>
  </si>
  <si>
    <t>Jan 2025</t>
  </si>
  <si>
    <t>Feb 2025</t>
  </si>
  <si>
    <t>Mar 2025</t>
  </si>
  <si>
    <t>Apr 2025</t>
  </si>
  <si>
    <t>May 2025</t>
  </si>
  <si>
    <t>Jun 2025</t>
  </si>
  <si>
    <t>Jul 2025</t>
  </si>
  <si>
    <t>Aug 2025</t>
  </si>
  <si>
    <t>Sep 2025</t>
  </si>
  <si>
    <t>Oct 2025</t>
  </si>
  <si>
    <t>Nov 2025</t>
  </si>
  <si>
    <t>Dec 2025</t>
  </si>
  <si>
    <t>FY 2025</t>
  </si>
  <si>
    <t>Highlights, found with INDEX and MATCH</t>
  </si>
  <si>
    <t>Largest overspend, month</t>
  </si>
  <si>
    <t>Largest underspend, month</t>
  </si>
  <si>
    <t>Line furthest over budget</t>
  </si>
  <si>
    <t>Line furthest under budget</t>
  </si>
  <si>
    <t>Forecast, FY2026</t>
  </si>
  <si>
    <t>Monthly forecast from 2025 results and the scenario chosen on the Assumptions sheet. USD.</t>
  </si>
  <si>
    <t>FY 2026</t>
  </si>
  <si>
    <t>Net revenue: 2025 month grown by scenario</t>
  </si>
  <si>
    <t>Gross margin: 2025 margin plus scenario change</t>
  </si>
  <si>
    <t>Variable costs at the 2025 rate</t>
  </si>
  <si>
    <t>Fixed costs: software, fees, taxes, G&amp;A</t>
  </si>
  <si>
    <t>Depreciation at the December run rate</t>
  </si>
  <si>
    <t>Net margin</t>
  </si>
  <si>
    <t>Cash, simplified: before working capital changes</t>
  </si>
  <si>
    <t>Cash, beginning of month</t>
  </si>
  <si>
    <t>Add back depreciation</t>
  </si>
  <si>
    <t>Equipment purchases, spread evenly</t>
  </si>
  <si>
    <t>Cash, end of month</t>
  </si>
  <si>
    <t>Spending budget, phased to the forecast</t>
  </si>
  <si>
    <t>Forecast spending: COGS plus cash opex</t>
  </si>
  <si>
    <t>Flat budget at the 2025 level</t>
  </si>
  <si>
    <t>Flat budget less forecast spending</t>
  </si>
  <si>
    <t>Phasing: month's share of annual spending</t>
  </si>
  <si>
    <t>Monthly key performance indicators; the charts are on the next page</t>
  </si>
  <si>
    <t>Volume</t>
  </si>
  <si>
    <t>Orders</t>
  </si>
  <si>
    <t>Units sold</t>
  </si>
  <si>
    <t>Average order value, merchandise</t>
  </si>
  <si>
    <t>Profitability</t>
  </si>
  <si>
    <t>Gross margin</t>
  </si>
  <si>
    <t>Operating margin</t>
  </si>
  <si>
    <t>Own brand share of merchandise sales</t>
  </si>
  <si>
    <t>Own brand share of product gross profit</t>
  </si>
  <si>
    <t>Efficiency</t>
  </si>
  <si>
    <t>Return rate, share of merchandise sales</t>
  </si>
  <si>
    <t>eBay fee rate, share of eBay sales</t>
  </si>
  <si>
    <t>Advertising, share of net revenue</t>
  </si>
  <si>
    <t>Inventory, days on hand</t>
  </si>
  <si>
    <t>Cash and budget</t>
  </si>
  <si>
    <t>Cash balance, month end</t>
  </si>
  <si>
    <t>Budget utilization: spending over budget</t>
  </si>
  <si>
    <t>Chart data</t>
  </si>
  <si>
    <t>Jan</t>
  </si>
  <si>
    <t>Feb</t>
  </si>
  <si>
    <t>Mar</t>
  </si>
  <si>
    <t>Apr</t>
  </si>
  <si>
    <t>May</t>
  </si>
  <si>
    <t>Jun</t>
  </si>
  <si>
    <t>Jul</t>
  </si>
  <si>
    <t>Aug</t>
  </si>
  <si>
    <t>Sep</t>
  </si>
  <si>
    <t>Oct</t>
  </si>
  <si>
    <t>Nov</t>
  </si>
  <si>
    <t>Dec</t>
  </si>
  <si>
    <t>Spending</t>
  </si>
  <si>
    <t>eBay</t>
  </si>
  <si>
    <t>Shopify</t>
  </si>
  <si>
    <t>Charts</t>
  </si>
  <si>
    <t>Each table is the result of a query in 5_SQLite_Database/queries/, run against escentials.db; each chart reads its table</t>
  </si>
  <si>
    <t>Revenue by channel   ·   5_SQLite_Database/queries/revenue_by_channel.sql</t>
  </si>
  <si>
    <t>Merchandise sales by channel, with order count, average order value and share of the total.</t>
  </si>
  <si>
    <t>Channel</t>
  </si>
  <si>
    <t>Avg order value</t>
  </si>
  <si>
    <t>Share of sales</t>
  </si>
  <si>
    <t>Gross margin by product line   ·   5_SQLite_Database/queries/margin_by_product_line.sql</t>
  </si>
  <si>
    <t>Gross margin by product line, before returns: the own brand line is small in sales but rich in margin.</t>
  </si>
  <si>
    <t>Product line</t>
  </si>
  <si>
    <t>Units</t>
  </si>
  <si>
    <t>Cost of goods</t>
  </si>
  <si>
    <t>Share of gross profit</t>
  </si>
  <si>
    <t>Designer fragrance</t>
  </si>
  <si>
    <t>Refills</t>
  </si>
  <si>
    <t>Car Perfume</t>
  </si>
  <si>
    <t>Top ten products by gross profit   ·   5_SQLite_Database/queries/top_products.sql</t>
  </si>
  <si>
    <t>The ten products that earned the most gross profit, ranked, with units, sales and margin.</t>
  </si>
  <si>
    <t>Product</t>
  </si>
  <si>
    <t>Rank</t>
  </si>
  <si>
    <t>Car Perfume refill, 3 x 10 ml</t>
  </si>
  <si>
    <t>Parfums de Marly Layton EDP 4.2 oz</t>
  </si>
  <si>
    <t>Car Perfume refill, 2 x 10 ml</t>
  </si>
  <si>
    <t>Car Perfume refill, 10 ml</t>
  </si>
  <si>
    <t>Creed Aventus EDP 3.3 oz</t>
  </si>
  <si>
    <t>Dior Sauvage EDT 3.4 oz</t>
  </si>
  <si>
    <t>Car Perfume bottle, Onyx, Chrome or Gold</t>
  </si>
  <si>
    <t>Car Perfume bottle, color collection</t>
  </si>
  <si>
    <t>Versace Eros EDT 3.4 oz</t>
  </si>
  <si>
    <t>Maison Francis Kurkdjian Baccarat Rouge 540 EDP 2.4 oz</t>
  </si>
  <si>
    <t>Operating costs by category   ·   5_SQLite_Database/queries/expense_mix.sql</t>
  </si>
  <si>
    <t>Where the money goes after the product itself: every operating cost, from order level fees and the ledger.</t>
  </si>
  <si>
    <t>Category</t>
  </si>
  <si>
    <t>Amount</t>
  </si>
  <si>
    <t>Share</t>
  </si>
  <si>
    <t>Income statement by month. USD.</t>
  </si>
  <si>
    <t>Merchandise sales, eBay</t>
  </si>
  <si>
    <t>Merchandise sales, Shopify</t>
  </si>
  <si>
    <t>Less: discounts</t>
  </si>
  <si>
    <t>Less: returns and refunds</t>
  </si>
  <si>
    <t>Designer fragrance, drop shipped</t>
  </si>
  <si>
    <t>Car Perfume and refills</t>
  </si>
  <si>
    <t>Total cost of goods sold</t>
  </si>
  <si>
    <t>Memo</t>
  </si>
  <si>
    <t>EBITDA: operating income plus depreciation</t>
  </si>
  <si>
    <t>Spending: COGS plus cash operating expenses</t>
  </si>
  <si>
    <t>Monthly Balance Sheet</t>
  </si>
  <si>
    <t>Opening balance and every month end. USD.</t>
  </si>
  <si>
    <t>Opening</t>
  </si>
  <si>
    <t>Equipment, net</t>
  </si>
  <si>
    <t>Check: assets less liabilities and equity</t>
  </si>
  <si>
    <t>Monthly Cash Flow</t>
  </si>
  <si>
    <t>Indirect method, by month. USD.</t>
  </si>
  <si>
    <t>Operating activities</t>
  </si>
  <si>
    <t>Changes in working capital</t>
  </si>
  <si>
    <t>Investing activities</t>
  </si>
  <si>
    <t>Financing activities</t>
  </si>
  <si>
    <t>Roll forwards that feed the balance sheet. USD.</t>
  </si>
  <si>
    <t>Equipment</t>
  </si>
  <si>
    <t>Cost, beginning</t>
  </si>
  <si>
    <t>Additions</t>
  </si>
  <si>
    <t>Cost, ending</t>
  </si>
  <si>
    <t>Accumulated depreciation, beginning</t>
  </si>
  <si>
    <t>Depreciation expense</t>
  </si>
  <si>
    <t>Accumulated depreciation, ending</t>
  </si>
  <si>
    <t>Inventory: Car Perfume bottles, fragrance oil and refills</t>
  </si>
  <si>
    <t>Beginning</t>
  </si>
  <si>
    <t>Purchases</t>
  </si>
  <si>
    <t>Ending</t>
  </si>
  <si>
    <t>Working capital</t>
  </si>
  <si>
    <t>Receivables: payouts in transit</t>
  </si>
  <si>
    <t>Payables: supplier drop ship charges</t>
  </si>
  <si>
    <t>Collected on Shopify orders</t>
  </si>
  <si>
    <t>Remitted to the state</t>
  </si>
  <si>
    <t>Monthly spending budget: the total on Assumptions times each line's share (blue). USD.</t>
  </si>
  <si>
    <t>Monthly spending budget by line</t>
  </si>
  <si>
    <t>Total spending budget</t>
  </si>
  <si>
    <t>Inputs are blue on yellow. Change them here and every sheet recalculates.</t>
  </si>
  <si>
    <t>Company</t>
  </si>
  <si>
    <t>Fiscal year</t>
  </si>
  <si>
    <t>Opening balance sheet, January 1, 2025 (carried from the prior year close)</t>
  </si>
  <si>
    <t>Equipment at cost</t>
  </si>
  <si>
    <t>Accumulated depreciation</t>
  </si>
  <si>
    <t>Members' equity: assets less liabilities</t>
  </si>
  <si>
    <t>Working capital and equipment</t>
  </si>
  <si>
    <t>Platform payout lag: days of net revenue in transit at month end</t>
  </si>
  <si>
    <t>Supplier payment terms: days of drop ship cost unpaid at month end</t>
  </si>
  <si>
    <t>Equipment useful life in years, straight line</t>
  </si>
  <si>
    <t>Monthly spending budget: COGS plus cash operating expenses</t>
  </si>
  <si>
    <t>Derived from 2025 results, used by the forecast</t>
  </si>
  <si>
    <t>Variable cost rate: fees, fulfillment, ads and packaging over net revenue</t>
  </si>
  <si>
    <t>Fixed costs per month: software, professional fees, taxes and G&amp;A</t>
  </si>
  <si>
    <t>FY2026 forecast scenarios</t>
  </si>
  <si>
    <t>Scenario in use: 1 = Base, 2 = Upside, 3 = Downside</t>
  </si>
  <si>
    <t>Driver</t>
  </si>
  <si>
    <t>Base</t>
  </si>
  <si>
    <t>Upside</t>
  </si>
  <si>
    <t>Downside</t>
  </si>
  <si>
    <t>In use</t>
  </si>
  <si>
    <t>Revenue growth over 2025</t>
  </si>
  <si>
    <t>Gross margin change, percentage points</t>
  </si>
  <si>
    <t>Fixed cost growth</t>
  </si>
  <si>
    <t>Member distributions per month</t>
  </si>
  <si>
    <t>Equipment purchases for the year</t>
  </si>
  <si>
    <t>Monthly SQL pull: 5_SQLite_Database/queries/monthly_summary.sql against escentials.db. Values from the database, not formulas.</t>
  </si>
  <si>
    <t>Sales</t>
  </si>
  <si>
    <t>Car Perfume bottles</t>
  </si>
  <si>
    <t>Car Perfume refills</t>
  </si>
  <si>
    <t>Shipping charged to customers</t>
  </si>
  <si>
    <t>Discounts</t>
  </si>
  <si>
    <t>Returns and refunds, merchandise</t>
  </si>
  <si>
    <t>Cost of goods sold, net of returns</t>
  </si>
  <si>
    <t>Designer fragrance, drop ship cost</t>
  </si>
  <si>
    <t>Operating costs</t>
  </si>
  <si>
    <t>eBay marketplace fees</t>
  </si>
  <si>
    <t>Shopify payment processing</t>
  </si>
  <si>
    <t>Drop ship fees and postage</t>
  </si>
  <si>
    <t>Promoted listings and ads</t>
  </si>
  <si>
    <t>Packaging</t>
  </si>
  <si>
    <t>Balance sheet activity</t>
  </si>
  <si>
    <t>Inventory purchases</t>
  </si>
  <si>
    <t>Equipment purchases</t>
  </si>
  <si>
    <t>Sales tax collected</t>
  </si>
  <si>
    <t>Sales tax remitted</t>
  </si>
  <si>
    <t>Orders, eBay</t>
  </si>
  <si>
    <t>Orders, Shopify</t>
  </si>
  <si>
    <t>Orders returned</t>
  </si>
  <si>
    <t>Control totals for the year, straight from SQL (the Checks sheet ties to these)</t>
  </si>
  <si>
    <t>Every check must read OK; the cover shows the count</t>
  </si>
  <si>
    <t>Check</t>
  </si>
  <si>
    <t>Difference</t>
  </si>
  <si>
    <t>The balance sheet balances at the opening and at every month end</t>
  </si>
  <si>
    <t>Cash flow ending cash equals balance sheet cash at December 31</t>
  </si>
  <si>
    <t>Cash flow opening cash equals the opening balance sheet</t>
  </si>
  <si>
    <t>Income statement net income equals the sum of the twelve months</t>
  </si>
  <si>
    <t>Cash flow statement starts from the same net income</t>
  </si>
  <si>
    <t>Cash flow statement ending cash equals the balance sheet</t>
  </si>
  <si>
    <t>Equity statement ending balance equals balance sheet equity</t>
  </si>
  <si>
    <t>Balance sheet statement: total assets equal the monthly model</t>
  </si>
  <si>
    <t>Balance sheet statement balances</t>
  </si>
  <si>
    <t>Merchandise sales equal the SQL control total</t>
  </si>
  <si>
    <t>Sales by channel equal sales by product line</t>
  </si>
  <si>
    <t>Orders equal the SQL control total</t>
  </si>
  <si>
    <t>Budget shares add up to 100%</t>
  </si>
  <si>
    <t>Cash is never negative (shows the shortfall if it is)</t>
  </si>
  <si>
    <t>Inventory is never negative (shows the shortfall if it is)</t>
  </si>
  <si>
    <t>Checks failing</t>
  </si>
</sst>
</file>

<file path=xl/styles.xml><?xml version="1.0" encoding="utf-8"?>
<styleSheet xmlns="http://schemas.openxmlformats.org/spreadsheetml/2006/main">
  <numFmts count="6">
    <numFmt numFmtId="164" formatCode="#,##0_);(#,##0);&quot;–&quot;_)"/>
    <numFmt numFmtId="165" formatCode="0.0%_);(0.0%);&quot;–&quot;_)"/>
    <numFmt numFmtId="166" formatCode="$#,##0_);($#,##0);&quot;–&quot;_)"/>
    <numFmt numFmtId="167" formatCode="mmm yy"/>
    <numFmt numFmtId="168" formatCode="$#,##0.00_);($#,##0.00);&quot;–&quot;_)"/>
    <numFmt numFmtId="169" formatCode="@"/>
  </numFmts>
  <fonts count="19">
    <font>
      <sz val="11"/>
      <color theme="1"/>
      <name val="Calibri"/>
      <family val="2"/>
      <scheme val="minor"/>
    </font>
    <font>
      <b/>
      <sz val="24"/>
      <color rgb="FF1F3864"/>
      <name val="Arial"/>
      <family val="2"/>
    </font>
    <font>
      <sz val="15"/>
      <color rgb="FF1F3864"/>
      <name val="Arial"/>
      <family val="2"/>
    </font>
    <font>
      <sz val="10"/>
      <color rgb="FF595959"/>
      <name val="Arial"/>
      <family val="2"/>
    </font>
    <font>
      <b/>
      <sz val="10"/>
      <color rgb="FF1F3864"/>
      <name val="Arial"/>
      <family val="2"/>
    </font>
    <font>
      <b/>
      <sz val="10"/>
      <color theme="1"/>
      <name val="Arial"/>
      <family val="2"/>
    </font>
    <font>
      <u/>
      <sz val="10"/>
      <color rgb="FF1F3864"/>
      <name val="Arial"/>
      <family val="2"/>
    </font>
    <font>
      <sz val="10"/>
      <color theme="1"/>
      <name val="Arial"/>
      <family val="2"/>
    </font>
    <font>
      <sz val="10"/>
      <color rgb="FF0000FF"/>
      <name val="Arial"/>
      <family val="2"/>
    </font>
    <font>
      <sz val="10"/>
      <color rgb="FF000000"/>
      <name val="Arial"/>
      <family val="2"/>
    </font>
    <font>
      <sz val="10"/>
      <color rgb="FF008000"/>
      <name val="Arial"/>
      <family val="2"/>
    </font>
    <font>
      <b/>
      <sz val="14"/>
      <color rgb="FF1F3864"/>
      <name val="Arial"/>
      <family val="2"/>
    </font>
    <font>
      <b/>
      <sz val="12"/>
      <color theme="1"/>
      <name val="Arial"/>
      <family val="2"/>
    </font>
    <font>
      <i/>
      <sz val="10"/>
      <color rgb="FF595959"/>
      <name val="Arial"/>
      <family val="2"/>
    </font>
    <font>
      <i/>
      <sz val="8"/>
      <color rgb="FF595959"/>
      <name val="Arial"/>
      <family val="2"/>
    </font>
    <font>
      <b/>
      <sz val="10"/>
      <color rgb="FF000000"/>
      <name val="Arial"/>
      <family val="2"/>
    </font>
    <font>
      <i/>
      <sz val="10"/>
      <color rgb="FF008000"/>
      <name val="Arial"/>
      <family val="2"/>
    </font>
    <font>
      <i/>
      <sz val="10"/>
      <color rgb="FF000000"/>
      <name val="Arial"/>
      <family val="2"/>
    </font>
    <font>
      <b/>
      <sz val="10"/>
      <color rgb="FF008000"/>
      <name val="Arial"/>
      <family val="2"/>
    </font>
  </fonts>
  <fills count="5">
    <fill>
      <patternFill patternType="none"/>
    </fill>
    <fill>
      <patternFill patternType="gray125"/>
    </fill>
    <fill>
      <patternFill patternType="solid">
        <fgColor rgb="FFDCE6F1"/>
        <bgColor indexed="64"/>
      </patternFill>
    </fill>
    <fill>
      <patternFill patternType="solid">
        <fgColor rgb="FFFFF2CC"/>
        <bgColor indexed="64"/>
      </patternFill>
    </fill>
    <fill>
      <patternFill patternType="solid">
        <fgColor rgb="FFEEF3FA"/>
        <bgColor indexed="64"/>
      </patternFill>
    </fill>
  </fills>
  <borders count="5">
    <border>
      <left/>
      <right/>
      <top/>
      <bottom/>
      <diagonal/>
    </border>
    <border>
      <left/>
      <right/>
      <top/>
      <bottom style="thin">
        <color rgb="FF1F3864"/>
      </bottom>
      <diagonal/>
    </border>
    <border>
      <left style="thin">
        <color rgb="FFBFBFBF"/>
      </left>
      <right style="thin">
        <color rgb="FFBFBFBF"/>
      </right>
      <top style="thin">
        <color rgb="FFBFBFBF"/>
      </top>
      <bottom style="thin">
        <color rgb="FFBFBFBF"/>
      </bottom>
      <diagonal/>
    </border>
    <border>
      <left/>
      <right/>
      <top style="thin">
        <color rgb="FF000000"/>
      </top>
      <bottom/>
      <diagonal/>
    </border>
    <border>
      <left/>
      <right/>
      <top style="thin">
        <color rgb="FF000000"/>
      </top>
      <bottom style="double">
        <color rgb="FF000000"/>
      </bottom>
      <diagonal/>
    </border>
  </borders>
  <cellStyleXfs count="1">
    <xf numFmtId="0" fontId="0" fillId="0" borderId="0"/>
  </cellStyleXfs>
  <cellXfs count="5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horizontal="center" vertical="center" wrapText="1"/>
    </xf>
    <xf numFmtId="0" fontId="5" fillId="0" borderId="0" xfId="0" applyFont="1" applyAlignment="1">
      <alignment vertical="center"/>
    </xf>
    <xf numFmtId="0" fontId="4" fillId="2" borderId="1"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164" fontId="8" fillId="0" borderId="0" xfId="0" applyNumberFormat="1" applyFont="1" applyAlignment="1">
      <alignment vertical="center"/>
    </xf>
    <xf numFmtId="164" fontId="9" fillId="0" borderId="0" xfId="0" applyNumberFormat="1" applyFont="1" applyAlignment="1">
      <alignment vertical="center"/>
    </xf>
    <xf numFmtId="164" fontId="10" fillId="0" borderId="0" xfId="0" applyNumberFormat="1" applyFont="1" applyAlignment="1">
      <alignment vertical="center"/>
    </xf>
    <xf numFmtId="164" fontId="8" fillId="3" borderId="2" xfId="0" applyNumberFormat="1" applyFont="1" applyFill="1" applyBorder="1" applyAlignment="1">
      <alignment vertical="center"/>
    </xf>
    <xf numFmtId="0" fontId="5" fillId="0" borderId="0" xfId="0" applyFont="1" applyAlignment="1">
      <alignment vertical="top"/>
    </xf>
    <xf numFmtId="0" fontId="7" fillId="0" borderId="0" xfId="0" applyFont="1" applyAlignment="1">
      <alignment vertical="top" wrapText="1"/>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4" fillId="2" borderId="1" xfId="0" applyFont="1" applyFill="1" applyBorder="1" applyAlignment="1">
      <alignment horizontal="right" vertical="center" wrapText="1"/>
    </xf>
    <xf numFmtId="0" fontId="4" fillId="0" borderId="0" xfId="0" applyFont="1" applyAlignment="1">
      <alignment vertical="center"/>
    </xf>
    <xf numFmtId="165" fontId="9" fillId="0" borderId="0" xfId="0" applyNumberFormat="1" applyFont="1" applyAlignment="1">
      <alignment vertical="center"/>
    </xf>
    <xf numFmtId="0" fontId="7" fillId="0" borderId="0" xfId="0" applyFont="1" applyAlignment="1">
      <alignment horizontal="left" vertical="center" indent="1"/>
    </xf>
    <xf numFmtId="166" fontId="10" fillId="0" borderId="0" xfId="0" applyNumberFormat="1" applyFont="1" applyAlignment="1">
      <alignment vertical="center"/>
    </xf>
    <xf numFmtId="0" fontId="5" fillId="0" borderId="3" xfId="0" applyFont="1" applyBorder="1" applyAlignment="1">
      <alignment vertical="center"/>
    </xf>
    <xf numFmtId="166" fontId="15" fillId="0" borderId="3" xfId="0" applyNumberFormat="1" applyFont="1" applyBorder="1" applyAlignment="1">
      <alignment vertical="center"/>
    </xf>
    <xf numFmtId="165" fontId="15" fillId="0" borderId="3" xfId="0" applyNumberFormat="1" applyFont="1" applyBorder="1" applyAlignment="1">
      <alignment vertical="center"/>
    </xf>
    <xf numFmtId="164" fontId="15" fillId="0" borderId="3" xfId="0" applyNumberFormat="1" applyFont="1" applyBorder="1" applyAlignment="1">
      <alignment vertical="center"/>
    </xf>
    <xf numFmtId="0" fontId="5" fillId="4" borderId="4" xfId="0" applyFont="1" applyFill="1" applyBorder="1" applyAlignment="1">
      <alignment vertical="center"/>
    </xf>
    <xf numFmtId="166" fontId="15" fillId="4" borderId="4" xfId="0" applyNumberFormat="1" applyFont="1" applyFill="1" applyBorder="1" applyAlignment="1">
      <alignment vertical="center"/>
    </xf>
    <xf numFmtId="165" fontId="15" fillId="4" borderId="4" xfId="0" applyNumberFormat="1" applyFont="1" applyFill="1" applyBorder="1" applyAlignment="1">
      <alignment vertical="center"/>
    </xf>
    <xf numFmtId="0" fontId="4" fillId="2" borderId="1" xfId="0" applyFont="1" applyFill="1" applyBorder="1" applyAlignment="1">
      <alignment horizontal="right" vertical="center"/>
    </xf>
    <xf numFmtId="0" fontId="9" fillId="0" borderId="0" xfId="0" applyFont="1" applyAlignment="1">
      <alignment horizontal="center" vertical="center"/>
    </xf>
    <xf numFmtId="164" fontId="15" fillId="4" borderId="4" xfId="0" applyNumberFormat="1" applyFont="1" applyFill="1" applyBorder="1" applyAlignment="1">
      <alignment vertical="center"/>
    </xf>
    <xf numFmtId="0" fontId="15" fillId="4" borderId="4" xfId="0" applyFont="1" applyFill="1" applyBorder="1" applyAlignment="1">
      <alignment horizontal="center" vertical="center"/>
    </xf>
    <xf numFmtId="0" fontId="15" fillId="0" borderId="0" xfId="0" applyFont="1" applyAlignment="1">
      <alignment vertical="center"/>
    </xf>
    <xf numFmtId="167" fontId="4" fillId="2" borderId="1" xfId="0" applyNumberFormat="1" applyFont="1" applyFill="1" applyBorder="1" applyAlignment="1">
      <alignment horizontal="right" vertical="center"/>
    </xf>
    <xf numFmtId="0" fontId="13" fillId="0" borderId="0" xfId="0" applyFont="1" applyAlignment="1">
      <alignment horizontal="left" vertical="center" indent="1"/>
    </xf>
    <xf numFmtId="165" fontId="16" fillId="0" borderId="0" xfId="0" applyNumberFormat="1" applyFont="1" applyAlignment="1">
      <alignment vertical="center"/>
    </xf>
    <xf numFmtId="165" fontId="17" fillId="0" borderId="0" xfId="0" applyNumberFormat="1" applyFont="1" applyAlignment="1">
      <alignment vertical="center"/>
    </xf>
    <xf numFmtId="168" fontId="10" fillId="0" borderId="0" xfId="0" applyNumberFormat="1" applyFont="1" applyAlignment="1">
      <alignment vertical="center"/>
    </xf>
    <xf numFmtId="165" fontId="10" fillId="0" borderId="0" xfId="0" applyNumberFormat="1" applyFont="1" applyAlignment="1">
      <alignment vertical="center"/>
    </xf>
    <xf numFmtId="0" fontId="3" fillId="0" borderId="0" xfId="0" applyFont="1" applyAlignment="1">
      <alignment horizontal="right" vertical="center"/>
    </xf>
    <xf numFmtId="0" fontId="4" fillId="2" borderId="1" xfId="0" applyFont="1" applyFill="1" applyBorder="1" applyAlignment="1">
      <alignment vertical="center" wrapText="1"/>
    </xf>
    <xf numFmtId="168" fontId="8" fillId="0" borderId="0" xfId="0" applyNumberFormat="1" applyFont="1" applyAlignment="1">
      <alignment vertical="center"/>
    </xf>
    <xf numFmtId="165" fontId="8" fillId="0" borderId="0" xfId="0" applyNumberFormat="1" applyFont="1" applyAlignment="1">
      <alignment vertical="center"/>
    </xf>
    <xf numFmtId="169" fontId="9" fillId="0" borderId="0" xfId="0" applyNumberFormat="1" applyFont="1" applyAlignment="1">
      <alignment vertical="center"/>
    </xf>
    <xf numFmtId="164" fontId="17" fillId="0" borderId="0" xfId="0" applyNumberFormat="1" applyFont="1" applyAlignment="1">
      <alignment vertical="center"/>
    </xf>
    <xf numFmtId="164" fontId="18" fillId="0" borderId="3" xfId="0" applyNumberFormat="1" applyFont="1" applyBorder="1" applyAlignment="1">
      <alignment vertical="center"/>
    </xf>
    <xf numFmtId="165" fontId="8" fillId="3" borderId="2" xfId="0" applyNumberFormat="1" applyFont="1" applyFill="1" applyBorder="1" applyAlignment="1">
      <alignment vertical="center"/>
    </xf>
    <xf numFmtId="169" fontId="8" fillId="3" borderId="2" xfId="0" applyNumberFormat="1" applyFont="1" applyFill="1" applyBorder="1" applyAlignment="1">
      <alignment horizontal="right" vertical="center"/>
    </xf>
    <xf numFmtId="0" fontId="8" fillId="3" borderId="2" xfId="0" applyFont="1" applyFill="1" applyBorder="1" applyAlignment="1">
      <alignment vertical="center"/>
    </xf>
    <xf numFmtId="166" fontId="8" fillId="3" borderId="2" xfId="0" applyNumberFormat="1" applyFont="1" applyFill="1" applyBorder="1" applyAlignment="1">
      <alignment vertical="center"/>
    </xf>
    <xf numFmtId="165" fontId="15" fillId="0" borderId="0" xfId="0" applyNumberFormat="1" applyFont="1" applyAlignment="1">
      <alignment vertical="center"/>
    </xf>
    <xf numFmtId="164" fontId="15" fillId="0" borderId="0" xfId="0" applyNumberFormat="1" applyFont="1" applyAlignment="1">
      <alignment vertical="center"/>
    </xf>
    <xf numFmtId="0" fontId="5" fillId="0" borderId="0" xfId="0" applyFont="1" applyAlignment="1">
      <alignment horizontal="center" vertical="center"/>
    </xf>
    <xf numFmtId="0" fontId="15" fillId="4" borderId="4" xfId="0" applyFont="1" applyFill="1" applyBorder="1" applyAlignment="1">
      <alignment horizontal="right" vertical="center"/>
    </xf>
  </cellXfs>
  <cellStyles count="1">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Net revenue and net income by month</a:t>
            </a:r>
          </a:p>
        </c:rich>
      </c:tx>
      <c:layout/>
    </c:title>
    <c:plotArea>
      <c:layout/>
      <c:barChart>
        <c:barDir val="col"/>
        <c:grouping val="clustered"/>
        <c:ser>
          <c:idx val="0"/>
          <c:order val="0"/>
          <c:tx>
            <c:v>Net revenue</c:v>
          </c:tx>
          <c:spPr>
            <a:solidFill>
              <a:srgbClr val="1F3864"/>
            </a:solidFill>
          </c:spPr>
          <c:cat>
            <c:strRef>
              <c:f>'KPIs'!$R$27:$AC$27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'KPIs'!$R$28:$AC$28</c:f>
              <c:numCache>
                <c:formatCode>General</c:formatCode>
                <c:ptCount val="12"/>
                <c:pt idx="0">
                  <c:v>13617.19</c:v>
                </c:pt>
                <c:pt idx="1">
                  <c:v>17386.33</c:v>
                </c:pt>
                <c:pt idx="2">
                  <c:v>15188.96</c:v>
                </c:pt>
                <c:pt idx="3">
                  <c:v>14549.57</c:v>
                </c:pt>
                <c:pt idx="4">
                  <c:v>16139.09</c:v>
                </c:pt>
                <c:pt idx="5">
                  <c:v>16961.38</c:v>
                </c:pt>
                <c:pt idx="6">
                  <c:v>13684.61</c:v>
                </c:pt>
                <c:pt idx="7">
                  <c:v>14236.73</c:v>
                </c:pt>
                <c:pt idx="8">
                  <c:v>14416.89</c:v>
                </c:pt>
                <c:pt idx="9">
                  <c:v>15602.75</c:v>
                </c:pt>
                <c:pt idx="10">
                  <c:v>24130.03</c:v>
                </c:pt>
                <c:pt idx="11">
                  <c:v>26820.64</c:v>
                </c:pt>
              </c:numCache>
            </c:numRef>
          </c:val>
        </c:ser>
        <c:gapWidth val="70"/>
        <c:axId val="50010001"/>
        <c:axId val="50010002"/>
      </c:barChart>
      <c:lineChart>
        <c:grouping val="standard"/>
        <c:ser>
          <c:idx val="1"/>
          <c:order val="1"/>
          <c:tx>
            <c:v>Net income (right axis)</c:v>
          </c:tx>
          <c:spPr>
            <a:ln w="28575">
              <a:solidFill>
                <a:srgbClr val="C55A11"/>
              </a:solidFill>
            </a:ln>
          </c:spPr>
          <c:marker>
            <c:symbol val="circle"/>
            <c:size val="5"/>
            <c:spPr>
              <a:solidFill>
                <a:srgbClr val="C55A11"/>
              </a:solidFill>
              <a:ln>
                <a:solidFill>
                  <a:srgbClr val="C55A11"/>
                </a:solidFill>
              </a:ln>
            </c:spPr>
          </c:marker>
          <c:cat>
            <c:strRef>
              <c:f>'KPIs'!$R$27:$AC$27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'KPIs'!$R$29:$AC$29</c:f>
              <c:numCache>
                <c:formatCode>General</c:formatCode>
                <c:ptCount val="12"/>
                <c:pt idx="0">
                  <c:v>856.990000000002</c:v>
                </c:pt>
                <c:pt idx="1">
                  <c:v>1211.45</c:v>
                </c:pt>
                <c:pt idx="2">
                  <c:v>84.5899999999992</c:v>
                </c:pt>
                <c:pt idx="3">
                  <c:v>245.7</c:v>
                </c:pt>
                <c:pt idx="4">
                  <c:v>1249.11</c:v>
                </c:pt>
                <c:pt idx="5">
                  <c:v>1477.77</c:v>
                </c:pt>
                <c:pt idx="6">
                  <c:v>968.17</c:v>
                </c:pt>
                <c:pt idx="7">
                  <c:v>845.62</c:v>
                </c:pt>
                <c:pt idx="8">
                  <c:v>1445.08</c:v>
                </c:pt>
                <c:pt idx="9">
                  <c:v>1441.17</c:v>
                </c:pt>
                <c:pt idx="10">
                  <c:v>1641.4</c:v>
                </c:pt>
                <c:pt idx="11">
                  <c:v>1747.85</c:v>
                </c:pt>
              </c:numCache>
            </c:numRef>
          </c:val>
        </c:ser>
        <c:marker val="1"/>
        <c:axId val="60010001"/>
        <c:axId val="60010002"/>
      </c:lineChart>
      <c:catAx>
        <c:axId val="50010001"/>
        <c:scaling>
          <c:orientation val="minMax"/>
        </c:scaling>
        <c:axPos val="b"/>
        <c:tickLblPos val="nextTo"/>
        <c:spPr>
          <a:ln>
            <a:solidFill>
              <a:srgbClr val="BFBFBF"/>
            </a:solidFill>
          </a:ln>
        </c:spPr>
        <c:txPr>
          <a:bodyPr/>
          <a:lstStyle/>
          <a:p>
            <a:pPr>
              <a:defRPr sz="800" baseline="0">
                <a:latin typeface="Arial"/>
              </a:defRPr>
            </a:pPr>
            <a:endParaRPr lang="en-US"/>
          </a:p>
        </c:txPr>
        <c:crossAx val="50010002"/>
        <c:crosses val="autoZero"/>
        <c:auto val="1"/>
        <c:lblAlgn val="ctr"/>
        <c:lblOffset val="100"/>
      </c:catAx>
      <c:valAx>
        <c:axId val="50010002"/>
        <c:scaling>
          <c:orientation val="minMax"/>
        </c:scaling>
        <c:axPos val="l"/>
        <c:majorGridlines>
          <c:spPr>
            <a:ln>
              <a:solidFill>
                <a:srgbClr val="E7E6E6"/>
              </a:solidFill>
            </a:ln>
          </c:spPr>
        </c:majorGridlines>
        <c:numFmt formatCode="$#,##0" sourceLinked="0"/>
        <c:tickLblPos val="nextTo"/>
        <c:spPr>
          <a:ln>
            <a:noFill/>
          </a:ln>
        </c:spPr>
        <c:txPr>
          <a:bodyPr/>
          <a:lstStyle/>
          <a:p>
            <a:pPr>
              <a:defRPr sz="800" baseline="0">
                <a:latin typeface="Arial"/>
              </a:defRPr>
            </a:pPr>
            <a:endParaRPr lang="en-US"/>
          </a:p>
        </c:txPr>
        <c:crossAx val="50010001"/>
        <c:crosses val="autoZero"/>
        <c:crossBetween val="between"/>
      </c:valAx>
      <c:valAx>
        <c:axId val="60010002"/>
        <c:scaling>
          <c:orientation val="minMax"/>
        </c:scaling>
        <c:axPos val="r"/>
        <c:numFmt formatCode="$#,##0" sourceLinked="0"/>
        <c:tickLblPos val="nextTo"/>
        <c:txPr>
          <a:bodyPr/>
          <a:lstStyle/>
          <a:p>
            <a:pPr>
              <a:defRPr sz="800" baseline="0">
                <a:latin typeface="Arial"/>
              </a:defRPr>
            </a:pPr>
            <a:endParaRPr lang="en-US"/>
          </a:p>
        </c:txPr>
        <c:crossAx val="60010001"/>
        <c:crosses val="max"/>
        <c:crossBetween val="between"/>
      </c:valAx>
      <c:catAx>
        <c:axId val="60010001"/>
        <c:scaling>
          <c:orientation val="minMax"/>
        </c:scaling>
        <c:delete val="1"/>
        <c:axPos val="b"/>
        <c:tickLblPos val="none"/>
        <c:crossAx val="60010002"/>
        <c:crosses val="autoZero"/>
        <c:auto val="1"/>
        <c:lblAlgn val="ctr"/>
        <c:lblOffset val="100"/>
      </c:catAx>
    </c:plotArea>
    <c:legend>
      <c:legendPos val="b"/>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Spending against the monthly budget</a:t>
            </a:r>
          </a:p>
        </c:rich>
      </c:tx>
      <c:layout/>
    </c:title>
    <c:plotArea>
      <c:layout/>
      <c:barChart>
        <c:barDir val="col"/>
        <c:grouping val="clustered"/>
        <c:ser>
          <c:idx val="0"/>
          <c:order val="0"/>
          <c:tx>
            <c:v>Actual spending</c:v>
          </c:tx>
          <c:spPr>
            <a:solidFill>
              <a:srgbClr val="2E75B6"/>
            </a:solidFill>
          </c:spPr>
          <c:cat>
            <c:strRef>
              <c:f>'KPIs'!$R$27:$AC$27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'KPIs'!$R$30:$AC$30</c:f>
              <c:numCache>
                <c:formatCode>General</c:formatCode>
                <c:ptCount val="12"/>
                <c:pt idx="0">
                  <c:v>12760.2</c:v>
                </c:pt>
                <c:pt idx="1">
                  <c:v>16129.13</c:v>
                </c:pt>
                <c:pt idx="2">
                  <c:v>15058.62</c:v>
                </c:pt>
                <c:pt idx="3">
                  <c:v>14258.12</c:v>
                </c:pt>
                <c:pt idx="4">
                  <c:v>14844.23</c:v>
                </c:pt>
                <c:pt idx="5">
                  <c:v>15437.86</c:v>
                </c:pt>
                <c:pt idx="6">
                  <c:v>12670.69</c:v>
                </c:pt>
                <c:pt idx="7">
                  <c:v>13345.36</c:v>
                </c:pt>
                <c:pt idx="8">
                  <c:v>12926.06</c:v>
                </c:pt>
                <c:pt idx="9">
                  <c:v>14115.83</c:v>
                </c:pt>
                <c:pt idx="10">
                  <c:v>22442.88</c:v>
                </c:pt>
                <c:pt idx="11">
                  <c:v>25027.04</c:v>
                </c:pt>
              </c:numCache>
            </c:numRef>
          </c:val>
        </c:ser>
        <c:gapWidth val="70"/>
        <c:axId val="50020001"/>
        <c:axId val="50020002"/>
      </c:barChart>
      <c:lineChart>
        <c:grouping val="standard"/>
        <c:ser>
          <c:idx val="1"/>
          <c:order val="1"/>
          <c:tx>
            <c:v>Budget</c:v>
          </c:tx>
          <c:spPr>
            <a:ln w="25400">
              <a:solidFill>
                <a:srgbClr val="C00000"/>
              </a:solidFill>
              <a:prstDash val="dash"/>
            </a:ln>
          </c:spPr>
          <c:marker>
            <c:symbol val="none"/>
          </c:marker>
          <c:cat>
            <c:strRef>
              <c:f>'KPIs'!$R$27:$AC$27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'KPIs'!$R$31:$AC$31</c:f>
              <c:numCache>
                <c:formatCode>General</c:formatCode>
                <c:ptCount val="12"/>
                <c:pt idx="0">
                  <c:v>20000</c:v>
                </c:pt>
                <c:pt idx="1">
                  <c:v>20000</c:v>
                </c:pt>
                <c:pt idx="2">
                  <c:v>20000</c:v>
                </c:pt>
                <c:pt idx="3">
                  <c:v>20000</c:v>
                </c:pt>
                <c:pt idx="4">
                  <c:v>20000</c:v>
                </c:pt>
                <c:pt idx="5">
                  <c:v>20000</c:v>
                </c:pt>
                <c:pt idx="6">
                  <c:v>20000</c:v>
                </c:pt>
                <c:pt idx="7">
                  <c:v>20000</c:v>
                </c:pt>
                <c:pt idx="8">
                  <c:v>20000</c:v>
                </c:pt>
                <c:pt idx="9">
                  <c:v>20000</c:v>
                </c:pt>
                <c:pt idx="10">
                  <c:v>20000</c:v>
                </c:pt>
                <c:pt idx="11">
                  <c:v>20000</c:v>
                </c:pt>
              </c:numCache>
            </c:numRef>
          </c:val>
        </c:ser>
        <c:marker val="1"/>
        <c:axId val="50020001"/>
        <c:axId val="50020002"/>
      </c:lineChart>
      <c:catAx>
        <c:axId val="50020001"/>
        <c:scaling>
          <c:orientation val="minMax"/>
        </c:scaling>
        <c:axPos val="b"/>
        <c:tickLblPos val="nextTo"/>
        <c:spPr>
          <a:ln>
            <a:solidFill>
              <a:srgbClr val="BFBFBF"/>
            </a:solidFill>
          </a:ln>
        </c:spPr>
        <c:txPr>
          <a:bodyPr/>
          <a:lstStyle/>
          <a:p>
            <a:pPr>
              <a:defRPr sz="800" baseline="0">
                <a:latin typeface="Arial"/>
              </a:defRPr>
            </a:pPr>
            <a:endParaRPr lang="en-US"/>
          </a:p>
        </c:txPr>
        <c:crossAx val="50020002"/>
        <c:crosses val="autoZero"/>
        <c:auto val="1"/>
        <c:lblAlgn val="ctr"/>
        <c:lblOffset val="100"/>
      </c:catAx>
      <c:valAx>
        <c:axId val="50020002"/>
        <c:scaling>
          <c:orientation val="minMax"/>
        </c:scaling>
        <c:axPos val="l"/>
        <c:majorGridlines>
          <c:spPr>
            <a:ln>
              <a:solidFill>
                <a:srgbClr val="E7E6E6"/>
              </a:solidFill>
            </a:ln>
          </c:spPr>
        </c:majorGridlines>
        <c:numFmt formatCode="$#,##0" sourceLinked="0"/>
        <c:tickLblPos val="nextTo"/>
        <c:spPr>
          <a:ln>
            <a:noFill/>
          </a:ln>
        </c:spPr>
        <c:txPr>
          <a:bodyPr/>
          <a:lstStyle/>
          <a:p>
            <a:pPr>
              <a:defRPr sz="800" baseline="0">
                <a:latin typeface="Arial"/>
              </a:defRPr>
            </a:pPr>
            <a:endParaRPr lang="en-US"/>
          </a:p>
        </c:txPr>
        <c:crossAx val="50020001"/>
        <c:crosses val="autoZero"/>
        <c:crossBetween val="between"/>
      </c:valAx>
    </c:plotArea>
    <c:legend>
      <c:legendPos val="b"/>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Gross and operating margin</a:t>
            </a:r>
          </a:p>
        </c:rich>
      </c:tx>
      <c:layout/>
    </c:title>
    <c:plotArea>
      <c:layout/>
      <c:lineChart>
        <c:grouping val="standard"/>
        <c:ser>
          <c:idx val="0"/>
          <c:order val="0"/>
          <c:tx>
            <c:v>Gross margin</c:v>
          </c:tx>
          <c:spPr>
            <a:ln w="28575">
              <a:solidFill>
                <a:srgbClr val="1F3864"/>
              </a:solidFill>
            </a:ln>
          </c:spPr>
          <c:marker>
            <c:symbol val="circle"/>
            <c:size val="5"/>
            <c:spPr>
              <a:solidFill>
                <a:srgbClr val="1F3864"/>
              </a:solidFill>
              <a:ln>
                <a:solidFill>
                  <a:srgbClr val="1F3864"/>
                </a:solidFill>
              </a:ln>
            </c:spPr>
          </c:marker>
          <c:cat>
            <c:strRef>
              <c:f>'KPIs'!$R$27:$AC$27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'KPIs'!$R$32:$AC$32</c:f>
              <c:numCache>
                <c:formatCode>General</c:formatCode>
                <c:ptCount val="12"/>
                <c:pt idx="0">
                  <c:v>0.300476089413455</c:v>
                </c:pt>
                <c:pt idx="1">
                  <c:v>0.300277861975471</c:v>
                </c:pt>
                <c:pt idx="2">
                  <c:v>0.289902007774067</c:v>
                </c:pt>
                <c:pt idx="3">
                  <c:v>0.305914195402338</c:v>
                </c:pt>
                <c:pt idx="4">
                  <c:v>0.308508100518679</c:v>
                </c:pt>
                <c:pt idx="5">
                  <c:v>0.30333793594625</c:v>
                </c:pt>
                <c:pt idx="6">
                  <c:v>0.314880000233839</c:v>
                </c:pt>
                <c:pt idx="7">
                  <c:v>0.297387813072243</c:v>
                </c:pt>
                <c:pt idx="8">
                  <c:v>0.327112158031309</c:v>
                </c:pt>
                <c:pt idx="9">
                  <c:v>0.320296101648748</c:v>
                </c:pt>
                <c:pt idx="10">
                  <c:v>0.298384626956535</c:v>
                </c:pt>
                <c:pt idx="11">
                  <c:v>0.319863358965334</c:v>
                </c:pt>
              </c:numCache>
            </c:numRef>
          </c:val>
        </c:ser>
        <c:ser>
          <c:idx val="1"/>
          <c:order val="1"/>
          <c:tx>
            <c:v>Operating margin</c:v>
          </c:tx>
          <c:spPr>
            <a:ln w="28575">
              <a:solidFill>
                <a:srgbClr val="C55A11"/>
              </a:solidFill>
            </a:ln>
          </c:spPr>
          <c:marker>
            <c:symbol val="circle"/>
            <c:size val="5"/>
            <c:spPr>
              <a:solidFill>
                <a:srgbClr val="C55A11"/>
              </a:solidFill>
              <a:ln>
                <a:solidFill>
                  <a:srgbClr val="C55A11"/>
                </a:solidFill>
              </a:ln>
            </c:spPr>
          </c:marker>
          <c:cat>
            <c:strRef>
              <c:f>'KPIs'!$R$27:$AC$27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'KPIs'!$R$33:$AC$33</c:f>
              <c:numCache>
                <c:formatCode>General</c:formatCode>
                <c:ptCount val="12"/>
                <c:pt idx="0">
                  <c:v>0.0629344233281611</c:v>
                </c:pt>
                <c:pt idx="1">
                  <c:v>0.0696783047371123</c:v>
                </c:pt>
                <c:pt idx="2">
                  <c:v>0.00556917655981708</c:v>
                </c:pt>
                <c:pt idx="3">
                  <c:v>0.0168870970069906</c:v>
                </c:pt>
                <c:pt idx="4">
                  <c:v>0.0773965570549517</c:v>
                </c:pt>
                <c:pt idx="5">
                  <c:v>0.087125575867058</c:v>
                </c:pt>
                <c:pt idx="6">
                  <c:v>0.0707488192940829</c:v>
                </c:pt>
                <c:pt idx="7">
                  <c:v>0.0593970666016705</c:v>
                </c:pt>
                <c:pt idx="8">
                  <c:v>0.100235210229113</c:v>
                </c:pt>
                <c:pt idx="9">
                  <c:v>0.0923664097675089</c:v>
                </c:pt>
                <c:pt idx="10">
                  <c:v>0.0680231230545507</c:v>
                </c:pt>
                <c:pt idx="11">
                  <c:v>0.0651680944228026</c:v>
                </c:pt>
              </c:numCache>
            </c:numRef>
          </c:val>
        </c:ser>
        <c:marker val="1"/>
        <c:axId val="50030001"/>
        <c:axId val="50030002"/>
      </c:lineChart>
      <c:catAx>
        <c:axId val="50030001"/>
        <c:scaling>
          <c:orientation val="minMax"/>
        </c:scaling>
        <c:axPos val="b"/>
        <c:tickLblPos val="nextTo"/>
        <c:spPr>
          <a:ln>
            <a:solidFill>
              <a:srgbClr val="BFBFBF"/>
            </a:solidFill>
          </a:ln>
        </c:spPr>
        <c:txPr>
          <a:bodyPr/>
          <a:lstStyle/>
          <a:p>
            <a:pPr>
              <a:defRPr sz="800" baseline="0">
                <a:latin typeface="Arial"/>
              </a:defRPr>
            </a:pPr>
            <a:endParaRPr lang="en-US"/>
          </a:p>
        </c:txPr>
        <c:crossAx val="50030002"/>
        <c:crosses val="autoZero"/>
        <c:auto val="1"/>
        <c:lblAlgn val="ctr"/>
        <c:lblOffset val="100"/>
      </c:catAx>
      <c:valAx>
        <c:axId val="50030002"/>
        <c:scaling>
          <c:orientation val="minMax"/>
        </c:scaling>
        <c:axPos val="l"/>
        <c:majorGridlines>
          <c:spPr>
            <a:ln>
              <a:solidFill>
                <a:srgbClr val="E7E6E6"/>
              </a:solidFill>
            </a:ln>
          </c:spPr>
        </c:majorGridlines>
        <c:numFmt formatCode="0%" sourceLinked="0"/>
        <c:tickLblPos val="nextTo"/>
        <c:spPr>
          <a:ln>
            <a:noFill/>
          </a:ln>
        </c:spPr>
        <c:txPr>
          <a:bodyPr/>
          <a:lstStyle/>
          <a:p>
            <a:pPr>
              <a:defRPr sz="800" baseline="0">
                <a:latin typeface="Arial"/>
              </a:defRPr>
            </a:pPr>
            <a:endParaRPr lang="en-US"/>
          </a:p>
        </c:txPr>
        <c:crossAx val="50030001"/>
        <c:crosses val="autoZero"/>
        <c:crossBetween val="between"/>
      </c:valAx>
    </c:plotArea>
    <c:legend>
      <c:legendPos val="b"/>
      <c:layout/>
      <c:txPr>
        <a:bodyPr/>
        <a:lstStyle/>
        <a:p>
          <a:pPr>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Merchandise sales by channel</a:t>
            </a:r>
          </a:p>
        </c:rich>
      </c:tx>
      <c:layout/>
    </c:title>
    <c:plotArea>
      <c:layout/>
      <c:doughnutChart>
        <c:varyColors val="1"/>
        <c:ser>
          <c:idx val="0"/>
          <c:order val="0"/>
          <c:tx>
            <c:v>Merchandise sales by channel</c:v>
          </c:tx>
          <c:dPt>
            <c:idx val="0"/>
            <c:spPr>
              <a:solidFill>
                <a:srgbClr val="1F3864"/>
              </a:solidFill>
            </c:spPr>
          </c:dPt>
          <c:dPt>
            <c:idx val="1"/>
            <c:spPr>
              <a:solidFill>
                <a:srgbClr val="2E75B6"/>
              </a:solidFill>
            </c:spPr>
          </c:dPt>
          <c:dLbls>
            <c:txPr>
              <a:bodyPr/>
              <a:lstStyle/>
              <a:p>
                <a:pPr>
                  <a:defRPr sz="1000" b="1" baseline="0">
                    <a:solidFill>
                      <a:srgbClr val="FFFFFF"/>
                    </a:solidFill>
                    <a:latin typeface="Arial"/>
                  </a:defRPr>
                </a:pPr>
                <a:endParaRPr lang="en-US"/>
              </a:p>
            </c:txPr>
            <c:showPercent val="1"/>
          </c:dLbls>
          <c:cat>
            <c:strRef>
              <c:f>'KPIs'!$Q$35:$Q$36</c:f>
              <c:strCache>
                <c:ptCount val="2"/>
                <c:pt idx="0">
                  <c:v>eBay</c:v>
                </c:pt>
                <c:pt idx="1">
                  <c:v>Shopify</c:v>
                </c:pt>
              </c:strCache>
            </c:strRef>
          </c:cat>
          <c:val>
            <c:numRef>
              <c:f>'KPIs'!$R$35:$R$36</c:f>
              <c:numCache>
                <c:formatCode>General</c:formatCode>
                <c:ptCount val="2"/>
                <c:pt idx="0">
                  <c:v>116479.68</c:v>
                </c:pt>
                <c:pt idx="1">
                  <c:v>84475.94</c:v>
                </c:pt>
              </c:numCache>
            </c:numRef>
          </c:val>
        </c:ser>
        <c:firstSliceAng val="0"/>
        <c:holeSize val="55"/>
      </c:doughnutChart>
    </c:plotArea>
    <c:legend>
      <c:legendPos val="b"/>
      <c:layout/>
      <c:txPr>
        <a:bodyPr/>
        <a:lstStyle/>
        <a:p>
          <a:pPr rtl="0">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Revenue by channel</a:t>
            </a:r>
          </a:p>
        </c:rich>
      </c:tx>
      <c:layout/>
    </c:title>
    <c:plotArea>
      <c:layout/>
      <c:doughnutChart>
        <c:varyColors val="1"/>
        <c:ser>
          <c:idx val="0"/>
          <c:order val="0"/>
          <c:tx>
            <c:v>Revenue by channel</c:v>
          </c:tx>
          <c:dPt>
            <c:idx val="0"/>
            <c:spPr>
              <a:solidFill>
                <a:srgbClr val="1F3864"/>
              </a:solidFill>
            </c:spPr>
          </c:dPt>
          <c:dPt>
            <c:idx val="1"/>
            <c:spPr>
              <a:solidFill>
                <a:srgbClr val="2E75B6"/>
              </a:solidFill>
            </c:spPr>
          </c:dPt>
          <c:dLbls>
            <c:txPr>
              <a:bodyPr/>
              <a:lstStyle/>
              <a:p>
                <a:pPr>
                  <a:defRPr sz="1000" b="1" baseline="0">
                    <a:solidFill>
                      <a:srgbClr val="FFFFFF"/>
                    </a:solidFill>
                    <a:latin typeface="Arial"/>
                  </a:defRPr>
                </a:pPr>
                <a:endParaRPr lang="en-US"/>
              </a:p>
            </c:txPr>
            <c:showPercent val="1"/>
          </c:dLbls>
          <c:cat>
            <c:strRef>
              <c:f>'SQL Analysis'!$A$8:$A$9</c:f>
              <c:strCache>
                <c:ptCount val="2"/>
                <c:pt idx="0">
                  <c:v>eBay</c:v>
                </c:pt>
                <c:pt idx="1">
                  <c:v>Shopify</c:v>
                </c:pt>
              </c:strCache>
            </c:strRef>
          </c:cat>
          <c:val>
            <c:numRef>
              <c:f>'SQL Analysis'!$C$8:$C$9</c:f>
              <c:numCache>
                <c:formatCode>General</c:formatCode>
                <c:ptCount val="2"/>
                <c:pt idx="0">
                  <c:v>116479.68</c:v>
                </c:pt>
                <c:pt idx="1">
                  <c:v>84475.94</c:v>
                </c:pt>
              </c:numCache>
            </c:numRef>
          </c:val>
        </c:ser>
        <c:firstSliceAng val="0"/>
        <c:holeSize val="55"/>
      </c:doughnutChart>
    </c:plotArea>
    <c:legend>
      <c:legendPos val="b"/>
      <c:layout/>
      <c:txPr>
        <a:bodyPr/>
        <a:lstStyle/>
        <a:p>
          <a:pPr rtl="0">
            <a:defRPr sz="800" baseline="0">
              <a:latin typeface="Arial"/>
            </a:defRPr>
          </a:pPr>
          <a:endParaRPr lang="en-US"/>
        </a:p>
      </c:txPr>
    </c:legend>
    <c:plotVisOnly val="1"/>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Gross margin by product line</a:t>
            </a:r>
          </a:p>
        </c:rich>
      </c:tx>
      <c:layout/>
    </c:title>
    <c:plotArea>
      <c:layout/>
      <c:barChart>
        <c:barDir val="col"/>
        <c:grouping val="clustered"/>
        <c:ser>
          <c:idx val="0"/>
          <c:order val="0"/>
          <c:tx>
            <c:v>Gross margin by product line</c:v>
          </c:tx>
          <c:spPr>
            <a:solidFill>
              <a:srgbClr val="1F3864"/>
            </a:solidFill>
          </c:spPr>
          <c:dLbls>
            <c:numFmt formatCode="0.0%" sourceLinked="0"/>
            <c:txPr>
              <a:bodyPr/>
              <a:lstStyle/>
              <a:p>
                <a:pPr>
                  <a:defRPr sz="800" baseline="0">
                    <a:latin typeface="Arial"/>
                  </a:defRPr>
                </a:pPr>
                <a:endParaRPr lang="en-US"/>
              </a:p>
            </c:txPr>
            <c:showVal val="1"/>
          </c:dLbls>
          <c:cat>
            <c:strRef>
              <c:f>'SQL Analysis'!$A$29:$A$31</c:f>
              <c:strCache>
                <c:ptCount val="3"/>
                <c:pt idx="0">
                  <c:v>Designer fragrance</c:v>
                </c:pt>
                <c:pt idx="1">
                  <c:v>Refills</c:v>
                </c:pt>
                <c:pt idx="2">
                  <c:v>Car Perfume</c:v>
                </c:pt>
              </c:strCache>
            </c:strRef>
          </c:cat>
          <c:val>
            <c:numRef>
              <c:f>'SQL Analysis'!$F$29:$F$31</c:f>
              <c:numCache>
                <c:formatCode>General</c:formatCode>
                <c:ptCount val="3"/>
                <c:pt idx="0">
                  <c:v>0.1921</c:v>
                </c:pt>
                <c:pt idx="1">
                  <c:v>0.8065</c:v>
                </c:pt>
                <c:pt idx="2">
                  <c:v>0.7241</c:v>
                </c:pt>
              </c:numCache>
            </c:numRef>
          </c:val>
        </c:ser>
        <c:gapWidth val="60"/>
        <c:axId val="50060001"/>
        <c:axId val="50060002"/>
      </c:barChart>
      <c:catAx>
        <c:axId val="50060001"/>
        <c:scaling>
          <c:orientation val="minMax"/>
        </c:scaling>
        <c:axPos val="b"/>
        <c:tickLblPos val="nextTo"/>
        <c:spPr>
          <a:ln>
            <a:solidFill>
              <a:srgbClr val="BFBFBF"/>
            </a:solidFill>
          </a:ln>
        </c:spPr>
        <c:txPr>
          <a:bodyPr/>
          <a:lstStyle/>
          <a:p>
            <a:pPr>
              <a:defRPr sz="800" baseline="0">
                <a:latin typeface="Arial"/>
              </a:defRPr>
            </a:pPr>
            <a:endParaRPr lang="en-US"/>
          </a:p>
        </c:txPr>
        <c:crossAx val="50060002"/>
        <c:crosses val="autoZero"/>
        <c:auto val="1"/>
        <c:lblAlgn val="ctr"/>
        <c:lblOffset val="100"/>
      </c:catAx>
      <c:valAx>
        <c:axId val="50060002"/>
        <c:scaling>
          <c:orientation val="minMax"/>
        </c:scaling>
        <c:axPos val="l"/>
        <c:majorGridlines>
          <c:spPr>
            <a:ln>
              <a:solidFill>
                <a:srgbClr val="E7E6E6"/>
              </a:solidFill>
            </a:ln>
          </c:spPr>
        </c:majorGridlines>
        <c:numFmt formatCode="0%" sourceLinked="0"/>
        <c:tickLblPos val="nextTo"/>
        <c:spPr>
          <a:ln>
            <a:noFill/>
          </a:ln>
        </c:spPr>
        <c:txPr>
          <a:bodyPr/>
          <a:lstStyle/>
          <a:p>
            <a:pPr>
              <a:defRPr sz="800" baseline="0">
                <a:latin typeface="Arial"/>
              </a:defRPr>
            </a:pPr>
            <a:endParaRPr lang="en-US"/>
          </a:p>
        </c:txPr>
        <c:crossAx val="50060001"/>
        <c:crosses val="autoZero"/>
        <c:crossBetween val="between"/>
      </c:valAx>
    </c:plotArea>
    <c:plotVisOnly val="1"/>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Top ten products by gross profit</a:t>
            </a:r>
          </a:p>
        </c:rich>
      </c:tx>
      <c:layout/>
    </c:title>
    <c:plotArea>
      <c:layout/>
      <c:barChart>
        <c:barDir val="bar"/>
        <c:grouping val="clustered"/>
        <c:ser>
          <c:idx val="0"/>
          <c:order val="0"/>
          <c:tx>
            <c:v>Top ten products by gross profit</c:v>
          </c:tx>
          <c:spPr>
            <a:solidFill>
              <a:srgbClr val="1F3864"/>
            </a:solidFill>
          </c:spPr>
          <c:dLbls>
            <c:numFmt formatCode="$#,##0" sourceLinked="0"/>
            <c:txPr>
              <a:bodyPr/>
              <a:lstStyle/>
              <a:p>
                <a:pPr>
                  <a:defRPr sz="800" baseline="0">
                    <a:latin typeface="Arial"/>
                  </a:defRPr>
                </a:pPr>
                <a:endParaRPr lang="en-US"/>
              </a:p>
            </c:txPr>
            <c:showVal val="1"/>
          </c:dLbls>
          <c:cat>
            <c:strRef>
              <c:f>'SQL Analysis'!$A$51:$A$60</c:f>
              <c:strCache>
                <c:ptCount val="10"/>
                <c:pt idx="0">
                  <c:v>Car Perfume refill, 3 x 10 ml</c:v>
                </c:pt>
                <c:pt idx="1">
                  <c:v>Parfums de Marly Layton EDP 4.2 oz</c:v>
                </c:pt>
                <c:pt idx="2">
                  <c:v>Car Perfume refill, 2 x 10 ml</c:v>
                </c:pt>
                <c:pt idx="3">
                  <c:v>Car Perfume refill, 10 ml</c:v>
                </c:pt>
                <c:pt idx="4">
                  <c:v>Creed Aventus EDP 3.3 oz</c:v>
                </c:pt>
                <c:pt idx="5">
                  <c:v>Dior Sauvage EDT 3.4 oz</c:v>
                </c:pt>
                <c:pt idx="6">
                  <c:v>Car Perfume bottle, Onyx, Chrome or Gold</c:v>
                </c:pt>
                <c:pt idx="7">
                  <c:v>Car Perfume bottle, color collection</c:v>
                </c:pt>
                <c:pt idx="8">
                  <c:v>Versace Eros EDT 3.4 oz</c:v>
                </c:pt>
                <c:pt idx="9">
                  <c:v>Maison Francis Kurkdjian Baccarat Rouge 540 EDP 2.4 oz</c:v>
                </c:pt>
              </c:strCache>
            </c:strRef>
          </c:cat>
          <c:val>
            <c:numRef>
              <c:f>'SQL Analysis'!$F$51:$F$60</c:f>
              <c:numCache>
                <c:formatCode>General</c:formatCode>
                <c:ptCount val="10"/>
                <c:pt idx="0">
                  <c:v>6535.68</c:v>
                </c:pt>
                <c:pt idx="1">
                  <c:v>6482.11</c:v>
                </c:pt>
                <c:pt idx="2">
                  <c:v>6018.53</c:v>
                </c:pt>
                <c:pt idx="3">
                  <c:v>5394.48</c:v>
                </c:pt>
                <c:pt idx="4">
                  <c:v>4065.19</c:v>
                </c:pt>
                <c:pt idx="5">
                  <c:v>3200.95</c:v>
                </c:pt>
                <c:pt idx="6">
                  <c:v>2898.96</c:v>
                </c:pt>
                <c:pt idx="7">
                  <c:v>2708.16</c:v>
                </c:pt>
                <c:pt idx="8">
                  <c:v>2630.16</c:v>
                </c:pt>
                <c:pt idx="9">
                  <c:v>2362.46</c:v>
                </c:pt>
              </c:numCache>
            </c:numRef>
          </c:val>
        </c:ser>
        <c:gapWidth val="60"/>
        <c:axId val="50070001"/>
        <c:axId val="50070002"/>
      </c:barChart>
      <c:catAx>
        <c:axId val="50070001"/>
        <c:scaling>
          <c:orientation val="maxMin"/>
        </c:scaling>
        <c:axPos val="l"/>
        <c:tickLblPos val="nextTo"/>
        <c:spPr>
          <a:ln>
            <a:solidFill>
              <a:srgbClr val="BFBFBF"/>
            </a:solidFill>
          </a:ln>
        </c:spPr>
        <c:txPr>
          <a:bodyPr/>
          <a:lstStyle/>
          <a:p>
            <a:pPr>
              <a:defRPr sz="800" baseline="0">
                <a:latin typeface="Arial"/>
              </a:defRPr>
            </a:pPr>
            <a:endParaRPr lang="en-US"/>
          </a:p>
        </c:txPr>
        <c:crossAx val="50070002"/>
        <c:crosses val="autoZero"/>
        <c:auto val="1"/>
        <c:lblAlgn val="ctr"/>
        <c:lblOffset val="100"/>
      </c:catAx>
      <c:valAx>
        <c:axId val="50070002"/>
        <c:scaling>
          <c:orientation val="minMax"/>
        </c:scaling>
        <c:axPos val="t"/>
        <c:majorGridlines>
          <c:spPr>
            <a:ln>
              <a:solidFill>
                <a:srgbClr val="E7E6E6"/>
              </a:solidFill>
            </a:ln>
          </c:spPr>
        </c:majorGridlines>
        <c:numFmt formatCode="$#,##0" sourceLinked="0"/>
        <c:tickLblPos val="nextTo"/>
        <c:spPr>
          <a:ln>
            <a:noFill/>
          </a:ln>
        </c:spPr>
        <c:txPr>
          <a:bodyPr/>
          <a:lstStyle/>
          <a:p>
            <a:pPr>
              <a:defRPr sz="800" baseline="0">
                <a:latin typeface="Arial"/>
              </a:defRPr>
            </a:pPr>
            <a:endParaRPr lang="en-US"/>
          </a:p>
        </c:txPr>
        <c:crossAx val="50070001"/>
        <c:crosses val="autoZero"/>
        <c:crossBetween val="between"/>
      </c:valAx>
    </c:plotArea>
    <c:plotVisOnly val="1"/>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1F3864"/>
                </a:solidFill>
                <a:latin typeface="Arial"/>
              </a:defRPr>
            </a:pPr>
            <a:r>
              <a:rPr lang="en-US" sz="1100" b="1" baseline="0">
                <a:solidFill>
                  <a:srgbClr val="1F3864"/>
                </a:solidFill>
                <a:latin typeface="Arial"/>
              </a:rPr>
              <a:t>Operating costs by category</a:t>
            </a:r>
          </a:p>
        </c:rich>
      </c:tx>
      <c:layout/>
    </c:title>
    <c:plotArea>
      <c:layout/>
      <c:barChart>
        <c:barDir val="bar"/>
        <c:grouping val="clustered"/>
        <c:ser>
          <c:idx val="0"/>
          <c:order val="0"/>
          <c:tx>
            <c:v>Operating costs by category</c:v>
          </c:tx>
          <c:spPr>
            <a:solidFill>
              <a:srgbClr val="1F3864"/>
            </a:solidFill>
          </c:spPr>
          <c:dLbls>
            <c:numFmt formatCode="$#,##0" sourceLinked="0"/>
            <c:txPr>
              <a:bodyPr/>
              <a:lstStyle/>
              <a:p>
                <a:pPr>
                  <a:defRPr sz="800" baseline="0">
                    <a:latin typeface="Arial"/>
                  </a:defRPr>
                </a:pPr>
                <a:endParaRPr lang="en-US"/>
              </a:p>
            </c:txPr>
            <c:showVal val="1"/>
          </c:dLbls>
          <c:cat>
            <c:strRef>
              <c:f>'SQL Analysis'!$A$80:$A$88</c:f>
              <c:strCache>
                <c:ptCount val="9"/>
                <c:pt idx="0">
                  <c:v>Shipping and fulfillment</c:v>
                </c:pt>
                <c:pt idx="1">
                  <c:v>Marketplace fees</c:v>
                </c:pt>
                <c:pt idx="2">
                  <c:v>Advertising and marketing</c:v>
                </c:pt>
                <c:pt idx="3">
                  <c:v>Payment processing</c:v>
                </c:pt>
                <c:pt idx="4">
                  <c:v>Packaging and supplies</c:v>
                </c:pt>
                <c:pt idx="5">
                  <c:v>General and administrative</c:v>
                </c:pt>
                <c:pt idx="6">
                  <c:v>Professional fees</c:v>
                </c:pt>
                <c:pt idx="7">
                  <c:v>Software and subscriptions</c:v>
                </c:pt>
                <c:pt idx="8">
                  <c:v>Taxes and licenses</c:v>
                </c:pt>
              </c:strCache>
            </c:strRef>
          </c:cat>
          <c:val>
            <c:numRef>
              <c:f>'SQL Analysis'!$B$80:$B$88</c:f>
              <c:numCache>
                <c:formatCode>General</c:formatCode>
                <c:ptCount val="9"/>
                <c:pt idx="0">
                  <c:v>17934.9</c:v>
                </c:pt>
                <c:pt idx="1">
                  <c:v>15851.1</c:v>
                </c:pt>
                <c:pt idx="2">
                  <c:v>6754.06</c:v>
                </c:pt>
                <c:pt idx="3">
                  <c:v>3223.94</c:v>
                </c:pt>
                <c:pt idx="4">
                  <c:v>1036.1</c:v>
                </c:pt>
                <c:pt idx="5">
                  <c:v>1003.27</c:v>
                </c:pt>
                <c:pt idx="6">
                  <c:v>970</c:v>
                </c:pt>
                <c:pt idx="7">
                  <c:v>924.4</c:v>
                </c:pt>
                <c:pt idx="8">
                  <c:v>910</c:v>
                </c:pt>
              </c:numCache>
            </c:numRef>
          </c:val>
        </c:ser>
        <c:gapWidth val="60"/>
        <c:axId val="50080001"/>
        <c:axId val="50080002"/>
      </c:barChart>
      <c:catAx>
        <c:axId val="50080001"/>
        <c:scaling>
          <c:orientation val="maxMin"/>
        </c:scaling>
        <c:axPos val="l"/>
        <c:tickLblPos val="nextTo"/>
        <c:spPr>
          <a:ln>
            <a:solidFill>
              <a:srgbClr val="BFBFBF"/>
            </a:solidFill>
          </a:ln>
        </c:spPr>
        <c:txPr>
          <a:bodyPr/>
          <a:lstStyle/>
          <a:p>
            <a:pPr>
              <a:defRPr sz="800" baseline="0">
                <a:latin typeface="Arial"/>
              </a:defRPr>
            </a:pPr>
            <a:endParaRPr lang="en-US"/>
          </a:p>
        </c:txPr>
        <c:crossAx val="50080002"/>
        <c:crosses val="autoZero"/>
        <c:auto val="1"/>
        <c:lblAlgn val="ctr"/>
        <c:lblOffset val="100"/>
      </c:catAx>
      <c:valAx>
        <c:axId val="50080002"/>
        <c:scaling>
          <c:orientation val="minMax"/>
        </c:scaling>
        <c:axPos val="t"/>
        <c:majorGridlines>
          <c:spPr>
            <a:ln>
              <a:solidFill>
                <a:srgbClr val="E7E6E6"/>
              </a:solidFill>
            </a:ln>
          </c:spPr>
        </c:majorGridlines>
        <c:numFmt formatCode="$#,##0" sourceLinked="0"/>
        <c:tickLblPos val="nextTo"/>
        <c:spPr>
          <a:ln>
            <a:noFill/>
          </a:ln>
        </c:spPr>
        <c:txPr>
          <a:bodyPr/>
          <a:lstStyle/>
          <a:p>
            <a:pPr>
              <a:defRPr sz="800" baseline="0">
                <a:latin typeface="Arial"/>
              </a:defRPr>
            </a:pPr>
            <a:endParaRPr lang="en-US"/>
          </a:p>
        </c:txPr>
        <c:crossAx val="50080001"/>
        <c:crosses val="autoZero"/>
        <c:crossBetween val="between"/>
      </c:valAx>
    </c:plotArea>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38100</xdr:colOff>
      <xdr:row>27</xdr:row>
      <xdr:rowOff>38100</xdr:rowOff>
    </xdr:from>
    <xdr:to>
      <xdr:col>6</xdr:col>
      <xdr:colOff>28575</xdr:colOff>
      <xdr:row>42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27</xdr:row>
      <xdr:rowOff>38100</xdr:rowOff>
    </xdr:from>
    <xdr:to>
      <xdr:col>15</xdr:col>
      <xdr:colOff>171450</xdr:colOff>
      <xdr:row>42</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44</xdr:row>
      <xdr:rowOff>38100</xdr:rowOff>
    </xdr:from>
    <xdr:to>
      <xdr:col>6</xdr:col>
      <xdr:colOff>28575</xdr:colOff>
      <xdr:row>59</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xdr:colOff>
      <xdr:row>44</xdr:row>
      <xdr:rowOff>38100</xdr:rowOff>
    </xdr:from>
    <xdr:to>
      <xdr:col>15</xdr:col>
      <xdr:colOff>171450</xdr:colOff>
      <xdr:row>59</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10</xdr:row>
      <xdr:rowOff>38100</xdr:rowOff>
    </xdr:from>
    <xdr:to>
      <xdr:col>3</xdr:col>
      <xdr:colOff>733425</xdr:colOff>
      <xdr:row>23</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32</xdr:row>
      <xdr:rowOff>38100</xdr:rowOff>
    </xdr:from>
    <xdr:to>
      <xdr:col>3</xdr:col>
      <xdr:colOff>733425</xdr:colOff>
      <xdr:row>45</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61</xdr:row>
      <xdr:rowOff>38100</xdr:rowOff>
    </xdr:from>
    <xdr:to>
      <xdr:col>3</xdr:col>
      <xdr:colOff>733425</xdr:colOff>
      <xdr:row>74</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89</xdr:row>
      <xdr:rowOff>38100</xdr:rowOff>
    </xdr:from>
    <xdr:to>
      <xdr:col>3</xdr:col>
      <xdr:colOff>733425</xdr:colOff>
      <xdr:row>102</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tabColor rgb="FF1F3864"/>
    <pageSetUpPr fitToPage="1"/>
  </sheetPr>
  <dimension ref="A1:B41"/>
  <sheetViews>
    <sheetView tabSelected="1" workbookViewId="0"/>
  </sheetViews>
  <sheetFormatPr defaultRowHeight="15"/>
  <cols>
    <col min="1" max="1" width="24.7109375" customWidth="1"/>
    <col min="2" max="2" width="84.7109375" customWidth="1"/>
  </cols>
  <sheetData>
    <row r="1" spans="1:2" ht="34" customHeight="1">
      <c r="A1" s="1" t="s">
        <v>0</v>
      </c>
    </row>
    <row r="2" spans="1:2">
      <c r="A2" s="2" t="s">
        <v>1</v>
      </c>
    </row>
    <row r="3" spans="1:2">
      <c r="A3" s="3" t="s">
        <v>2</v>
      </c>
    </row>
    <row r="5" spans="1:2" ht="34" customHeight="1">
      <c r="A5" s="4" t="s">
        <v>3</v>
      </c>
      <c r="B5" s="4"/>
    </row>
    <row r="7" spans="1:2">
      <c r="A7" s="5" t="s">
        <v>4</v>
      </c>
      <c r="B7" s="5" t="str">
        <f>IF('Checks'!$B$22=0,"All 15 integrity checks pass","Check errors: "&amp;'Checks'!$B$22&amp;" failing")</f>
        <v>All 15 integrity checks pass</v>
      </c>
    </row>
    <row r="9" spans="1:2">
      <c r="A9" s="6" t="s">
        <v>5</v>
      </c>
      <c r="B9" s="6"/>
    </row>
    <row r="10" spans="1:2">
      <c r="A10" s="7" t="s">
        <v>6</v>
      </c>
      <c r="B10" s="8" t="s">
        <v>7</v>
      </c>
    </row>
    <row r="11" spans="1:2">
      <c r="A11" s="7" t="s">
        <v>8</v>
      </c>
      <c r="B11" s="8" t="s">
        <v>9</v>
      </c>
    </row>
    <row r="12" spans="1:2">
      <c r="A12" s="7" t="s">
        <v>10</v>
      </c>
      <c r="B12" s="8" t="s">
        <v>11</v>
      </c>
    </row>
    <row r="13" spans="1:2">
      <c r="A13" s="7" t="s">
        <v>12</v>
      </c>
      <c r="B13" s="8" t="s">
        <v>13</v>
      </c>
    </row>
    <row r="14" spans="1:2">
      <c r="A14" s="7" t="s">
        <v>14</v>
      </c>
      <c r="B14" s="8" t="s">
        <v>15</v>
      </c>
    </row>
    <row r="15" spans="1:2">
      <c r="A15" s="7" t="s">
        <v>16</v>
      </c>
      <c r="B15" s="8" t="str">
        <f>"Spending against the "&amp;TEXT('Assumptions'!$B$25,"$#,##0")&amp;" monthly budget, by line and by month"</f>
        <v>Spending against the $20,000 monthly budget, by line and by month</v>
      </c>
    </row>
    <row r="16" spans="1:2">
      <c r="A16" s="7" t="s">
        <v>17</v>
      </c>
      <c r="B16" s="8" t="s">
        <v>18</v>
      </c>
    </row>
    <row r="17" spans="1:2">
      <c r="A17" s="7" t="s">
        <v>19</v>
      </c>
      <c r="B17" s="8" t="s">
        <v>20</v>
      </c>
    </row>
    <row r="18" spans="1:2">
      <c r="A18" s="7" t="s">
        <v>21</v>
      </c>
      <c r="B18" s="8" t="s">
        <v>22</v>
      </c>
    </row>
    <row r="19" spans="1:2">
      <c r="A19" s="7" t="s">
        <v>23</v>
      </c>
      <c r="B19" s="8" t="s">
        <v>24</v>
      </c>
    </row>
    <row r="20" spans="1:2">
      <c r="A20" s="7" t="s">
        <v>25</v>
      </c>
      <c r="B20" s="8" t="s">
        <v>26</v>
      </c>
    </row>
    <row r="21" spans="1:2">
      <c r="A21" s="7" t="s">
        <v>27</v>
      </c>
      <c r="B21" s="8" t="s">
        <v>28</v>
      </c>
    </row>
    <row r="22" spans="1:2">
      <c r="A22" s="7" t="s">
        <v>29</v>
      </c>
      <c r="B22" s="8" t="s">
        <v>30</v>
      </c>
    </row>
    <row r="23" spans="1:2">
      <c r="A23" s="7" t="s">
        <v>31</v>
      </c>
      <c r="B23" s="8" t="s">
        <v>32</v>
      </c>
    </row>
    <row r="24" spans="1:2">
      <c r="A24" s="7" t="s">
        <v>33</v>
      </c>
      <c r="B24" s="8" t="s">
        <v>34</v>
      </c>
    </row>
    <row r="25" spans="1:2">
      <c r="A25" s="7" t="s">
        <v>35</v>
      </c>
      <c r="B25" s="8" t="s">
        <v>36</v>
      </c>
    </row>
    <row r="26" spans="1:2">
      <c r="A26" s="7" t="s">
        <v>37</v>
      </c>
      <c r="B26" s="8" t="s">
        <v>38</v>
      </c>
    </row>
    <row r="28" spans="1:2">
      <c r="A28" s="6" t="s">
        <v>39</v>
      </c>
      <c r="B28" s="6"/>
    </row>
    <row r="29" spans="1:2">
      <c r="A29" s="9">
        <v>1000</v>
      </c>
      <c r="B29" s="8" t="s">
        <v>40</v>
      </c>
    </row>
    <row r="30" spans="1:2">
      <c r="A30" s="10">
        <f>500*2</f>
        <v>1000</v>
      </c>
      <c r="B30" s="8" t="s">
        <v>41</v>
      </c>
    </row>
    <row r="31" spans="1:2">
      <c r="A31" s="11">
        <f>'Assumptions'!$B$25</f>
        <v>20000</v>
      </c>
      <c r="B31" s="8" t="s">
        <v>42</v>
      </c>
    </row>
    <row r="32" spans="1:2">
      <c r="A32" s="12">
        <v>1000</v>
      </c>
      <c r="B32" s="8" t="s">
        <v>43</v>
      </c>
    </row>
    <row r="34" spans="1:2">
      <c r="A34" s="6" t="s">
        <v>44</v>
      </c>
      <c r="B34" s="6"/>
    </row>
    <row r="35" spans="1:2" ht="27" customHeight="1">
      <c r="A35" s="13" t="s">
        <v>35</v>
      </c>
      <c r="B35" s="14" t="s">
        <v>45</v>
      </c>
    </row>
    <row r="36" spans="1:2" ht="27" customHeight="1">
      <c r="A36" s="13" t="s">
        <v>46</v>
      </c>
      <c r="B36" s="14" t="s">
        <v>47</v>
      </c>
    </row>
    <row r="37" spans="1:2" ht="27" customHeight="1">
      <c r="A37" s="13" t="s">
        <v>48</v>
      </c>
      <c r="B37" s="14" t="s">
        <v>49</v>
      </c>
    </row>
    <row r="38" spans="1:2" ht="27" customHeight="1">
      <c r="A38" s="13" t="s">
        <v>37</v>
      </c>
      <c r="B38" s="14" t="s">
        <v>50</v>
      </c>
    </row>
    <row r="39" spans="1:2">
      <c r="A39" s="13" t="s">
        <v>51</v>
      </c>
      <c r="B39" s="14" t="s">
        <v>52</v>
      </c>
    </row>
    <row r="41" spans="1:2">
      <c r="A41" s="5" t="s">
        <v>53</v>
      </c>
      <c r="B41" s="8" t="s">
        <v>54</v>
      </c>
    </row>
  </sheetData>
  <mergeCells count="1">
    <mergeCell ref="A5:B5"/>
  </mergeCells>
  <conditionalFormatting sqref="B7">
    <cfRule type="containsText" dxfId="0" priority="1" operator="containsText" text="pass">
      <formula>NOT(ISERROR(SEARCH("pass",B7)))</formula>
    </cfRule>
    <cfRule type="containsText" dxfId="1" priority="2" operator="containsText" text="errors">
      <formula>NOT(ISERROR(SEARCH("errors",B7)))</formula>
    </cfRule>
  </conditionalFormatting>
  <hyperlinks>
    <hyperlink ref="A10" location="'Income Statement'!A1" display="Income Statement"/>
    <hyperlink ref="A11" location="'Balance Sheet'!A1" display="Balance Sheet"/>
    <hyperlink ref="A12" location="'Cash Flows'!A1" display="Cash Flows"/>
    <hyperlink ref="A13" location="'Equity Statement'!A1" display="Equity Statement"/>
    <hyperlink ref="A14" location="'Notes'!A1" display="Notes"/>
    <hyperlink ref="A15" location="'Budget vs Actual'!A1" display="Budget vs Actual"/>
    <hyperlink ref="A16" location="'Forecast'!A1" display="Forecast"/>
    <hyperlink ref="A17" location="'KPIs'!A1" display="KPIs"/>
    <hyperlink ref="A18" location="'SQL Analysis'!A1" display="SQL Analysis"/>
    <hyperlink ref="A19" location="'Monthly P&amp;L'!A1" display="Monthly P&amp;L"/>
    <hyperlink ref="A20" location="'Monthly BS'!A1" display="Monthly BS"/>
    <hyperlink ref="A21" location="'Monthly CF'!A1" display="Monthly CF"/>
    <hyperlink ref="A22" location="'Schedules'!A1" display="Schedules"/>
    <hyperlink ref="A23" location="'Budget'!A1" display="Budget"/>
    <hyperlink ref="A24" location="'Assumptions'!A1" display="Assumptions"/>
    <hyperlink ref="A25" location="'Data'!A1" display="Data"/>
    <hyperlink ref="A26" location="'Checks'!A1" display="Checks"/>
  </hyperlinks>
  <pageMargins left="0.7" right="0.7" top="0.7" bottom="0.7" header="0.3" footer="0.3"/>
  <pageSetup paperSize="1" fitToHeight="0" orientation="portrait"/>
</worksheet>
</file>

<file path=xl/worksheets/sheet2.xml><?xml version="1.0" encoding="utf-8"?>
<worksheet xmlns="http://schemas.openxmlformats.org/spreadsheetml/2006/main" xmlns:r="http://schemas.openxmlformats.org/officeDocument/2006/relationships">
  <sheetPr>
    <tabColor rgb="FF1F3864"/>
    <pageSetUpPr fitToPage="1"/>
  </sheetPr>
  <dimension ref="A1:D33"/>
  <sheetViews>
    <sheetView workbookViewId="0"/>
  </sheetViews>
  <sheetFormatPr defaultRowHeight="15"/>
  <cols>
    <col min="1" max="1" width="54.7109375" customWidth="1"/>
    <col min="2" max="2" width="1.7109375" hidden="1" customWidth="1"/>
    <col min="3" max="4" width="16.7109375" customWidth="1"/>
  </cols>
  <sheetData>
    <row r="1" spans="1:4">
      <c r="A1" s="15" t="s">
        <v>0</v>
      </c>
    </row>
    <row r="2" spans="1:4">
      <c r="A2" s="16" t="s">
        <v>55</v>
      </c>
    </row>
    <row r="3" spans="1:4">
      <c r="A3" s="17" t="s">
        <v>56</v>
      </c>
    </row>
    <row r="4" spans="1:4">
      <c r="A4" s="18" t="s">
        <v>57</v>
      </c>
    </row>
    <row r="6" spans="1:4" ht="30" customHeight="1">
      <c r="A6" s="6" t="s">
        <v>58</v>
      </c>
      <c r="C6" s="19" t="s">
        <v>59</v>
      </c>
      <c r="D6" s="19" t="s">
        <v>60</v>
      </c>
    </row>
    <row r="7" spans="1:4">
      <c r="A7" s="20" t="s">
        <v>61</v>
      </c>
      <c r="C7" s="10"/>
      <c r="D7" s="21"/>
    </row>
    <row r="8" spans="1:4">
      <c r="A8" s="22" t="s">
        <v>62</v>
      </c>
      <c r="C8" s="23">
        <f>'Monthly P&amp;L'!O6+'Monthly P&amp;L'!O7</f>
        <v>200955.62</v>
      </c>
      <c r="D8" s="21">
        <f>IFERROR(C8/C$11,0)</f>
        <v>0.991227181880588</v>
      </c>
    </row>
    <row r="9" spans="1:4">
      <c r="A9" s="22" t="s">
        <v>63</v>
      </c>
      <c r="C9" s="11">
        <f>'Monthly P&amp;L'!O8</f>
        <v>7631.26</v>
      </c>
      <c r="D9" s="21">
        <f>IFERROR(C9/C$11,0)</f>
        <v>0.0376417058851007</v>
      </c>
    </row>
    <row r="10" spans="1:4">
      <c r="A10" s="22" t="s">
        <v>64</v>
      </c>
      <c r="C10" s="11">
        <f>'Monthly P&amp;L'!O9+'Monthly P&amp;L'!O10</f>
        <v>-5852.71</v>
      </c>
      <c r="D10" s="21">
        <f>IFERROR(C10/C$11,0)</f>
        <v>-0.0288688877656884</v>
      </c>
    </row>
    <row r="11" spans="1:4">
      <c r="A11" s="24" t="s">
        <v>65</v>
      </c>
      <c r="C11" s="25">
        <f>SUM(C8:C10)</f>
        <v>202734.17</v>
      </c>
      <c r="D11" s="26">
        <f>IFERROR(C11/C$11,0)</f>
        <v>1</v>
      </c>
    </row>
    <row r="12" spans="1:4">
      <c r="A12" s="22" t="s">
        <v>66</v>
      </c>
      <c r="C12" s="11">
        <f>'Monthly P&amp;L'!O16</f>
        <v>140408.25</v>
      </c>
      <c r="D12" s="21">
        <f>IFERROR(C12/C$11,0)</f>
        <v>0.692573185862058</v>
      </c>
    </row>
    <row r="13" spans="1:4">
      <c r="A13" s="24" t="s">
        <v>67</v>
      </c>
      <c r="C13" s="25">
        <f>C11-C12</f>
        <v>62325.92</v>
      </c>
      <c r="D13" s="26">
        <f>IFERROR(C13/C$11,0)</f>
        <v>0.307426814137942</v>
      </c>
    </row>
    <row r="14" spans="1:4">
      <c r="A14" s="22"/>
      <c r="C14" s="10"/>
      <c r="D14" s="10"/>
    </row>
    <row r="15" spans="1:4">
      <c r="A15" s="20" t="s">
        <v>68</v>
      </c>
      <c r="C15" s="10"/>
      <c r="D15" s="21"/>
    </row>
    <row r="16" spans="1:4">
      <c r="A16" s="22" t="s">
        <v>69</v>
      </c>
      <c r="C16" s="11">
        <f>'Monthly P&amp;L'!O22</f>
        <v>15851.1</v>
      </c>
      <c r="D16" s="21">
        <f>IFERROR(C16/C$11,0)</f>
        <v>0.0781866224129855</v>
      </c>
    </row>
    <row r="17" spans="1:4">
      <c r="A17" s="22" t="s">
        <v>70</v>
      </c>
      <c r="C17" s="11">
        <f>'Monthly P&amp;L'!O23</f>
        <v>3223.94</v>
      </c>
      <c r="D17" s="21">
        <f>IFERROR(C17/C$11,0)</f>
        <v>0.015902302014505</v>
      </c>
    </row>
    <row r="18" spans="1:4">
      <c r="A18" s="22" t="s">
        <v>71</v>
      </c>
      <c r="C18" s="11">
        <f>'Monthly P&amp;L'!O24</f>
        <v>17934.9</v>
      </c>
      <c r="D18" s="21">
        <f>IFERROR(C18/C$11,0)</f>
        <v>0.0884651067947747</v>
      </c>
    </row>
    <row r="19" spans="1:4">
      <c r="A19" s="22" t="s">
        <v>72</v>
      </c>
      <c r="C19" s="11">
        <f>'Monthly P&amp;L'!O25</f>
        <v>6754.06</v>
      </c>
      <c r="D19" s="21">
        <f>IFERROR(C19/C$11,0)</f>
        <v>0.0333148575792625</v>
      </c>
    </row>
    <row r="20" spans="1:4">
      <c r="A20" s="22" t="s">
        <v>73</v>
      </c>
      <c r="C20" s="11">
        <f>'Monthly P&amp;L'!O26</f>
        <v>1036.1</v>
      </c>
      <c r="D20" s="21">
        <f>IFERROR(C20/C$11,0)</f>
        <v>0.00511063329876754</v>
      </c>
    </row>
    <row r="21" spans="1:4">
      <c r="A21" s="22" t="s">
        <v>74</v>
      </c>
      <c r="C21" s="11">
        <f>'Monthly P&amp;L'!O27</f>
        <v>924.4</v>
      </c>
      <c r="D21" s="21">
        <f>IFERROR(C21/C$11,0)</f>
        <v>0.00455966549694114</v>
      </c>
    </row>
    <row r="22" spans="1:4">
      <c r="A22" s="22" t="s">
        <v>75</v>
      </c>
      <c r="C22" s="11">
        <f>'Monthly P&amp;L'!O28</f>
        <v>970</v>
      </c>
      <c r="D22" s="21">
        <f>IFERROR(C22/C$11,0)</f>
        <v>0.00478459057987117</v>
      </c>
    </row>
    <row r="23" spans="1:4">
      <c r="A23" s="22" t="s">
        <v>76</v>
      </c>
      <c r="C23" s="11">
        <f>'Monthly P&amp;L'!O29</f>
        <v>910</v>
      </c>
      <c r="D23" s="21">
        <f>IFERROR(C23/C$11,0)</f>
        <v>0.00448863652338429</v>
      </c>
    </row>
    <row r="24" spans="1:4">
      <c r="A24" s="22" t="s">
        <v>77</v>
      </c>
      <c r="C24" s="11">
        <f>'Monthly P&amp;L'!O30</f>
        <v>1003.27</v>
      </c>
      <c r="D24" s="21">
        <f>IFERROR(C24/C$11,0)</f>
        <v>0.00494869710419314</v>
      </c>
    </row>
    <row r="25" spans="1:4">
      <c r="A25" s="22" t="s">
        <v>78</v>
      </c>
      <c r="C25" s="11">
        <f>'Monthly P&amp;L'!O31</f>
        <v>503.25</v>
      </c>
      <c r="D25" s="21">
        <f>IFERROR(C25/C$11,0)</f>
        <v>0.00248231464878368</v>
      </c>
    </row>
    <row r="26" spans="1:4">
      <c r="A26" s="24" t="s">
        <v>79</v>
      </c>
      <c r="C26" s="27">
        <f>SUM(C16:C25)</f>
        <v>49111.02</v>
      </c>
      <c r="D26" s="26">
        <f>IFERROR(C26/C$11,0)</f>
        <v>0.242243426453469</v>
      </c>
    </row>
    <row r="27" spans="1:4">
      <c r="A27" s="22"/>
      <c r="C27" s="10"/>
      <c r="D27" s="10"/>
    </row>
    <row r="28" spans="1:4">
      <c r="A28" s="24" t="s">
        <v>80</v>
      </c>
      <c r="C28" s="25">
        <f>C13-C26</f>
        <v>13214.9</v>
      </c>
      <c r="D28" s="26">
        <f>IFERROR(C28/C$11,0)</f>
        <v>0.0651833876844736</v>
      </c>
    </row>
    <row r="29" spans="1:4">
      <c r="A29" s="22"/>
      <c r="C29" s="10"/>
      <c r="D29" s="10"/>
    </row>
    <row r="30" spans="1:4">
      <c r="A30" s="28" t="s">
        <v>81</v>
      </c>
      <c r="C30" s="29">
        <f>C28</f>
        <v>13214.9</v>
      </c>
      <c r="D30" s="30">
        <f>IFERROR(C30/C$11,0)</f>
        <v>0.0651833876844736</v>
      </c>
    </row>
    <row r="32" spans="1:4">
      <c r="A32" s="18" t="s">
        <v>82</v>
      </c>
    </row>
    <row r="33" spans="1:1">
      <c r="A33" s="18" t="s">
        <v>83</v>
      </c>
    </row>
  </sheetData>
  <pageMargins left="0.7" right="0.7" top="0.7" bottom="0.7" header="0.3" footer="0.3"/>
  <pageSetup paperSize="1" fitToHeight="0" orientation="portrait"/>
  <headerFooter>
    <oddFooter>&amp;L&amp;8Escentials LLC · FY2025 · Illustrative figures&amp;R&amp;8&amp;A</oddFooter>
  </headerFooter>
</worksheet>
</file>

<file path=xl/worksheets/sheet3.xml><?xml version="1.0" encoding="utf-8"?>
<worksheet xmlns="http://schemas.openxmlformats.org/spreadsheetml/2006/main" xmlns:r="http://schemas.openxmlformats.org/officeDocument/2006/relationships">
  <sheetPr>
    <tabColor rgb="FF1F3864"/>
    <pageSetUpPr fitToPage="1"/>
  </sheetPr>
  <dimension ref="A1:D24"/>
  <sheetViews>
    <sheetView workbookViewId="0"/>
  </sheetViews>
  <sheetFormatPr defaultRowHeight="15"/>
  <cols>
    <col min="1" max="1" width="54.7109375" customWidth="1"/>
    <col min="2" max="2" width="1.7109375" hidden="1" customWidth="1"/>
    <col min="3" max="4" width="16.7109375" customWidth="1"/>
  </cols>
  <sheetData>
    <row r="1" spans="1:4">
      <c r="A1" s="15" t="s">
        <v>0</v>
      </c>
    </row>
    <row r="2" spans="1:4">
      <c r="A2" s="16" t="s">
        <v>8</v>
      </c>
    </row>
    <row r="3" spans="1:4">
      <c r="A3" s="17" t="s">
        <v>84</v>
      </c>
    </row>
    <row r="4" spans="1:4">
      <c r="A4" s="18" t="s">
        <v>57</v>
      </c>
    </row>
    <row r="6" spans="1:4" ht="30" customHeight="1">
      <c r="A6" s="6" t="s">
        <v>58</v>
      </c>
      <c r="C6" s="19" t="s">
        <v>85</v>
      </c>
      <c r="D6" s="19" t="s">
        <v>86</v>
      </c>
    </row>
    <row r="7" spans="1:4">
      <c r="A7" s="20" t="s">
        <v>87</v>
      </c>
      <c r="C7" s="10"/>
      <c r="D7" s="10"/>
    </row>
    <row r="8" spans="1:4">
      <c r="A8" s="17" t="s">
        <v>88</v>
      </c>
      <c r="C8" s="10"/>
      <c r="D8" s="10"/>
    </row>
    <row r="9" spans="1:4">
      <c r="A9" s="22" t="s">
        <v>89</v>
      </c>
      <c r="C9" s="23">
        <f>'Monthly BS'!N6</f>
        <v>13286.1690322581</v>
      </c>
      <c r="D9" s="23">
        <f>'Monthly BS'!B6</f>
        <v>9000</v>
      </c>
    </row>
    <row r="10" spans="1:4">
      <c r="A10" s="22" t="s">
        <v>90</v>
      </c>
      <c r="C10" s="11">
        <f>'Monthly BS'!N7</f>
        <v>2595.54580645161</v>
      </c>
      <c r="D10" s="11">
        <f>'Monthly BS'!B7</f>
        <v>2374</v>
      </c>
    </row>
    <row r="11" spans="1:4">
      <c r="A11" s="22" t="s">
        <v>91</v>
      </c>
      <c r="C11" s="11">
        <f>'Monthly BS'!N8</f>
        <v>2197.75</v>
      </c>
      <c r="D11" s="11">
        <f>'Monthly BS'!B8</f>
        <v>700</v>
      </c>
    </row>
    <row r="12" spans="1:4">
      <c r="A12" s="24" t="s">
        <v>92</v>
      </c>
      <c r="C12" s="27">
        <f>SUM(C9:C11)</f>
        <v>18079.4648387097</v>
      </c>
      <c r="D12" s="27">
        <f>SUM(D9:D11)</f>
        <v>12074</v>
      </c>
    </row>
    <row r="13" spans="1:4">
      <c r="A13" s="22" t="s">
        <v>93</v>
      </c>
      <c r="C13" s="11">
        <f>'Monthly BS'!N10</f>
        <v>1143.75</v>
      </c>
      <c r="D13" s="11">
        <f>'Monthly BS'!B10</f>
        <v>0</v>
      </c>
    </row>
    <row r="14" spans="1:4">
      <c r="A14" s="28" t="s">
        <v>94</v>
      </c>
      <c r="C14" s="29">
        <f>C12+C13</f>
        <v>19223.2148387097</v>
      </c>
      <c r="D14" s="29">
        <f>D12+D13</f>
        <v>12074</v>
      </c>
    </row>
    <row r="15" spans="1:4">
      <c r="A15" s="22"/>
      <c r="C15" s="10"/>
      <c r="D15" s="10"/>
    </row>
    <row r="16" spans="1:4">
      <c r="A16" s="20" t="s">
        <v>95</v>
      </c>
      <c r="C16" s="10"/>
      <c r="D16" s="10"/>
    </row>
    <row r="17" spans="1:4">
      <c r="A17" s="17" t="s">
        <v>96</v>
      </c>
      <c r="C17" s="10"/>
      <c r="D17" s="10"/>
    </row>
    <row r="18" spans="1:4">
      <c r="A18" s="22" t="s">
        <v>97</v>
      </c>
      <c r="C18" s="23">
        <f>'Monthly BS'!N14</f>
        <v>8374.35483870968</v>
      </c>
      <c r="D18" s="23">
        <f>'Monthly BS'!B14</f>
        <v>8019</v>
      </c>
    </row>
    <row r="19" spans="1:4">
      <c r="A19" s="22" t="s">
        <v>98</v>
      </c>
      <c r="C19" s="11">
        <f>'Monthly BS'!N15</f>
        <v>786.96</v>
      </c>
      <c r="D19" s="11">
        <f>'Monthly BS'!B15</f>
        <v>708</v>
      </c>
    </row>
    <row r="20" spans="1:4">
      <c r="A20" s="24" t="s">
        <v>99</v>
      </c>
      <c r="C20" s="27">
        <f>C18+C19</f>
        <v>9161.31483870968</v>
      </c>
      <c r="D20" s="27">
        <f>D18+D19</f>
        <v>8727</v>
      </c>
    </row>
    <row r="21" spans="1:4">
      <c r="A21" s="22" t="s">
        <v>100</v>
      </c>
      <c r="C21" s="11">
        <f>'Monthly BS'!N17</f>
        <v>10061.9</v>
      </c>
      <c r="D21" s="11">
        <f>'Monthly BS'!B17</f>
        <v>3347</v>
      </c>
    </row>
    <row r="22" spans="1:4">
      <c r="A22" s="28" t="s">
        <v>101</v>
      </c>
      <c r="C22" s="29">
        <f>C20+C21</f>
        <v>19223.2148387097</v>
      </c>
      <c r="D22" s="29">
        <f>D20+D21</f>
        <v>12074</v>
      </c>
    </row>
    <row r="24" spans="1:4">
      <c r="A24" s="18" t="s">
        <v>83</v>
      </c>
    </row>
  </sheetData>
  <pageMargins left="0.7" right="0.7" top="0.7" bottom="0.7" header="0.3" footer="0.3"/>
  <pageSetup paperSize="1" fitToHeight="0" orientation="portrait"/>
  <headerFooter>
    <oddFooter>&amp;L&amp;8Escentials LLC · FY2025 · Illustrative figures&amp;R&amp;8&amp;A</oddFooter>
  </headerFooter>
</worksheet>
</file>

<file path=xl/worksheets/sheet4.xml><?xml version="1.0" encoding="utf-8"?>
<worksheet xmlns="http://schemas.openxmlformats.org/spreadsheetml/2006/main" xmlns:r="http://schemas.openxmlformats.org/officeDocument/2006/relationships">
  <sheetPr>
    <tabColor rgb="FF1F3864"/>
    <pageSetUpPr fitToPage="1"/>
  </sheetPr>
  <dimension ref="A1:C31"/>
  <sheetViews>
    <sheetView workbookViewId="0"/>
  </sheetViews>
  <sheetFormatPr defaultRowHeight="15"/>
  <cols>
    <col min="1" max="1" width="54.7109375" customWidth="1"/>
    <col min="2" max="2" width="1.7109375" hidden="1" customWidth="1"/>
    <col min="3" max="4" width="16.7109375" customWidth="1"/>
  </cols>
  <sheetData>
    <row r="1" spans="1:3">
      <c r="A1" s="15" t="s">
        <v>0</v>
      </c>
    </row>
    <row r="2" spans="1:3">
      <c r="A2" s="16" t="s">
        <v>102</v>
      </c>
    </row>
    <row r="3" spans="1:3">
      <c r="A3" s="17" t="s">
        <v>103</v>
      </c>
    </row>
    <row r="4" spans="1:3">
      <c r="A4" s="18" t="s">
        <v>57</v>
      </c>
    </row>
    <row r="6" spans="1:3" ht="30" customHeight="1">
      <c r="A6" s="6" t="s">
        <v>58</v>
      </c>
      <c r="C6" s="19" t="s">
        <v>59</v>
      </c>
    </row>
    <row r="7" spans="1:3">
      <c r="A7" s="20" t="s">
        <v>104</v>
      </c>
      <c r="C7" s="10"/>
    </row>
    <row r="8" spans="1:3">
      <c r="A8" s="22" t="s">
        <v>81</v>
      </c>
      <c r="C8" s="23">
        <f>'Monthly CF'!O6</f>
        <v>13214.9</v>
      </c>
    </row>
    <row r="9" spans="1:3">
      <c r="A9" s="17" t="s">
        <v>105</v>
      </c>
      <c r="C9" s="10"/>
    </row>
    <row r="10" spans="1:3">
      <c r="A10" s="22" t="s">
        <v>78</v>
      </c>
      <c r="C10" s="11">
        <f>'Monthly CF'!O7</f>
        <v>503.25</v>
      </c>
    </row>
    <row r="11" spans="1:3">
      <c r="A11" s="17" t="s">
        <v>106</v>
      </c>
      <c r="C11" s="10"/>
    </row>
    <row r="12" spans="1:3">
      <c r="A12" s="22" t="s">
        <v>90</v>
      </c>
      <c r="C12" s="11">
        <f>'Monthly CF'!O9</f>
        <v>-221.545806451612</v>
      </c>
    </row>
    <row r="13" spans="1:3">
      <c r="A13" s="22" t="s">
        <v>91</v>
      </c>
      <c r="C13" s="11">
        <f>'Monthly CF'!O10</f>
        <v>-1497.75</v>
      </c>
    </row>
    <row r="14" spans="1:3">
      <c r="A14" s="22" t="s">
        <v>97</v>
      </c>
      <c r="C14" s="11">
        <f>'Monthly CF'!O11</f>
        <v>355.354838709678</v>
      </c>
    </row>
    <row r="15" spans="1:3">
      <c r="A15" s="22" t="s">
        <v>98</v>
      </c>
      <c r="C15" s="11">
        <f>'Monthly CF'!O12</f>
        <v>78.9599999999999</v>
      </c>
    </row>
    <row r="16" spans="1:3">
      <c r="A16" s="24" t="s">
        <v>107</v>
      </c>
      <c r="C16" s="27">
        <f>SUM(C8:C15)</f>
        <v>12433.1690322581</v>
      </c>
    </row>
    <row r="17" spans="1:3">
      <c r="A17" s="22"/>
      <c r="C17" s="10"/>
    </row>
    <row r="18" spans="1:3">
      <c r="A18" s="20" t="s">
        <v>108</v>
      </c>
      <c r="C18" s="10"/>
    </row>
    <row r="19" spans="1:3">
      <c r="A19" s="22" t="s">
        <v>109</v>
      </c>
      <c r="C19" s="11">
        <f>'Monthly CF'!O16</f>
        <v>-1647</v>
      </c>
    </row>
    <row r="20" spans="1:3">
      <c r="A20" s="24" t="s">
        <v>110</v>
      </c>
      <c r="C20" s="27">
        <f>C19</f>
        <v>-1647</v>
      </c>
    </row>
    <row r="21" spans="1:3">
      <c r="A21" s="22"/>
      <c r="C21" s="10"/>
    </row>
    <row r="22" spans="1:3">
      <c r="A22" s="20" t="s">
        <v>111</v>
      </c>
      <c r="C22" s="10"/>
    </row>
    <row r="23" spans="1:3">
      <c r="A23" s="22" t="s">
        <v>112</v>
      </c>
      <c r="C23" s="11">
        <f>'Monthly CF'!O20</f>
        <v>2500</v>
      </c>
    </row>
    <row r="24" spans="1:3">
      <c r="A24" s="22" t="s">
        <v>113</v>
      </c>
      <c r="C24" s="11">
        <f>'Monthly CF'!O21</f>
        <v>-9000</v>
      </c>
    </row>
    <row r="25" spans="1:3">
      <c r="A25" s="24" t="s">
        <v>114</v>
      </c>
      <c r="C25" s="27">
        <f>C23+C24</f>
        <v>-6500</v>
      </c>
    </row>
    <row r="26" spans="1:3">
      <c r="A26" s="22"/>
      <c r="C26" s="10"/>
    </row>
    <row r="27" spans="1:3">
      <c r="A27" s="24" t="s">
        <v>115</v>
      </c>
      <c r="C27" s="27">
        <f>C16+C20+C25</f>
        <v>4286.16903225806</v>
      </c>
    </row>
    <row r="28" spans="1:3">
      <c r="A28" s="22" t="s">
        <v>116</v>
      </c>
      <c r="C28" s="11">
        <f>'Monthly CF'!O25</f>
        <v>9000</v>
      </c>
    </row>
    <row r="29" spans="1:3">
      <c r="A29" s="28" t="s">
        <v>117</v>
      </c>
      <c r="C29" s="29">
        <f>C28+C27</f>
        <v>13286.1690322581</v>
      </c>
    </row>
    <row r="31" spans="1:3">
      <c r="A31" s="18" t="s">
        <v>83</v>
      </c>
    </row>
  </sheetData>
  <pageMargins left="0.7" right="0.7" top="0.7" bottom="0.7" header="0.3" footer="0.3"/>
  <pageSetup paperSize="1" fitToHeight="0" orientation="portrait"/>
  <headerFooter>
    <oddFooter>&amp;L&amp;8Escentials LLC · FY2025 · Illustrative figures&amp;R&amp;8&amp;A</oddFooter>
  </headerFooter>
</worksheet>
</file>

<file path=xl/worksheets/sheet5.xml><?xml version="1.0" encoding="utf-8"?>
<worksheet xmlns="http://schemas.openxmlformats.org/spreadsheetml/2006/main" xmlns:r="http://schemas.openxmlformats.org/officeDocument/2006/relationships">
  <sheetPr>
    <tabColor rgb="FF1F3864"/>
    <pageSetUpPr fitToPage="1"/>
  </sheetPr>
  <dimension ref="A1:C13"/>
  <sheetViews>
    <sheetView workbookViewId="0"/>
  </sheetViews>
  <sheetFormatPr defaultRowHeight="15"/>
  <cols>
    <col min="1" max="1" width="54.7109375" customWidth="1"/>
    <col min="2" max="2" width="1.7109375" hidden="1" customWidth="1"/>
    <col min="3" max="4" width="16.7109375" customWidth="1"/>
  </cols>
  <sheetData>
    <row r="1" spans="1:3">
      <c r="A1" s="15" t="s">
        <v>0</v>
      </c>
    </row>
    <row r="2" spans="1:3">
      <c r="A2" s="16" t="s">
        <v>118</v>
      </c>
    </row>
    <row r="3" spans="1:3">
      <c r="A3" s="17" t="s">
        <v>56</v>
      </c>
    </row>
    <row r="4" spans="1:3">
      <c r="A4" s="18" t="s">
        <v>57</v>
      </c>
    </row>
    <row r="6" spans="1:3" ht="30" customHeight="1">
      <c r="A6" s="6" t="s">
        <v>58</v>
      </c>
      <c r="C6" s="19" t="s">
        <v>100</v>
      </c>
    </row>
    <row r="7" spans="1:3">
      <c r="A7" s="22" t="s">
        <v>119</v>
      </c>
      <c r="C7" s="23">
        <f>'Schedules'!B35</f>
        <v>3347</v>
      </c>
    </row>
    <row r="8" spans="1:3">
      <c r="A8" s="22" t="s">
        <v>112</v>
      </c>
      <c r="C8" s="11">
        <f>'Schedules'!O32</f>
        <v>2500</v>
      </c>
    </row>
    <row r="9" spans="1:3">
      <c r="A9" s="22" t="s">
        <v>81</v>
      </c>
      <c r="C9" s="11">
        <f>'Income Statement'!C30</f>
        <v>13214.9</v>
      </c>
    </row>
    <row r="10" spans="1:3">
      <c r="A10" s="22" t="s">
        <v>113</v>
      </c>
      <c r="C10" s="11">
        <f>'Schedules'!O34</f>
        <v>-9000</v>
      </c>
    </row>
    <row r="11" spans="1:3">
      <c r="A11" s="28" t="s">
        <v>120</v>
      </c>
      <c r="C11" s="29">
        <f>SUM(C7:C10)</f>
        <v>10061.9</v>
      </c>
    </row>
    <row r="13" spans="1:3">
      <c r="A13" s="18" t="s">
        <v>83</v>
      </c>
    </row>
  </sheetData>
  <pageMargins left="0.7" right="0.7" top="0.7" bottom="0.7" header="0.3" footer="0.3"/>
  <pageSetup paperSize="1" fitToHeight="0" orientation="portrait"/>
  <headerFooter>
    <oddFooter>&amp;L&amp;8Escentials LLC · FY2025 · Illustrative figures&amp;R&amp;8&amp;A</oddFooter>
  </headerFooter>
</worksheet>
</file>

<file path=xl/worksheets/sheet6.xml><?xml version="1.0" encoding="utf-8"?>
<worksheet xmlns="http://schemas.openxmlformats.org/spreadsheetml/2006/main" xmlns:r="http://schemas.openxmlformats.org/officeDocument/2006/relationships">
  <sheetPr>
    <tabColor rgb="FF1F3864"/>
    <pageSetUpPr fitToPage="1"/>
  </sheetPr>
  <dimension ref="A1:A37"/>
  <sheetViews>
    <sheetView workbookViewId="0"/>
  </sheetViews>
  <sheetFormatPr defaultRowHeight="15"/>
  <cols>
    <col min="1" max="1" width="92.7109375" customWidth="1"/>
  </cols>
  <sheetData>
    <row r="1" spans="1:1">
      <c r="A1" s="15" t="s">
        <v>0</v>
      </c>
    </row>
    <row r="2" spans="1:1">
      <c r="A2" s="16" t="s">
        <v>121</v>
      </c>
    </row>
    <row r="3" spans="1:1">
      <c r="A3" s="17" t="s">
        <v>56</v>
      </c>
    </row>
    <row r="4" spans="1:1">
      <c r="A4" s="18" t="s">
        <v>57</v>
      </c>
    </row>
    <row r="6" spans="1:1">
      <c r="A6" s="20" t="s">
        <v>122</v>
      </c>
    </row>
    <row r="7" spans="1:1" ht="29" customHeight="1">
      <c r="A7" s="14" t="s">
        <v>123</v>
      </c>
    </row>
    <row r="9" spans="1:1">
      <c r="A9" s="20" t="s">
        <v>124</v>
      </c>
    </row>
    <row r="10" spans="1:1" ht="42" customHeight="1">
      <c r="A10" s="14" t="s">
        <v>125</v>
      </c>
    </row>
    <row r="12" spans="1:1">
      <c r="A12" s="20" t="s">
        <v>126</v>
      </c>
    </row>
    <row r="13" spans="1:1" ht="29" customHeight="1">
      <c r="A13" s="14" t="s">
        <v>127</v>
      </c>
    </row>
    <row r="15" spans="1:1">
      <c r="A15" s="20" t="s">
        <v>128</v>
      </c>
    </row>
    <row r="16" spans="1:1" ht="81" customHeight="1">
      <c r="A16" s="14" t="s">
        <v>129</v>
      </c>
    </row>
    <row r="18" spans="1:1">
      <c r="A18" s="20" t="s">
        <v>130</v>
      </c>
    </row>
    <row r="19" spans="1:1" ht="42" customHeight="1">
      <c r="A19" s="14" t="str">
        <f>"Inventory is Car Perfume bottles, fragrance oil and refills, stated at the lower of cost (first in, first out) and net realizable value. "&amp;"Designer fragrance ships directly from the supplier, so the Company holds none of it. Inventory at December 31, 2025 was "&amp;TEXT('Balance Sheet'!C11,"$#,##0")&amp;"."</f>
        <v>Inventory is Car Perfume bottles, fragrance oil and refills, stated at the lower of cost (first in, first out) and net realizable value. Designer fragrance ships directly from the supplier, so the Company holds none of it. Inventory at December 31, 2025 was $2,198.</v>
      </c>
    </row>
    <row r="21" spans="1:1">
      <c r="A21" s="20" t="s">
        <v>131</v>
      </c>
    </row>
    <row r="22" spans="1:1" ht="42" customHeight="1">
      <c r="A22" s="14" t="str">
        <f>"Equipment is stated at cost and depreciated on a straight line basis over "&amp;'Assumptions'!$B$22&amp;" years. At December 31, 2025 its cost was "&amp;TEXT('Schedules'!N8,"$#,##0")&amp;", accumulated depreciation was "&amp;TEXT('Schedules'!N11,"$#,##0")&amp;", and 2025 depreciation expense was "&amp;TEXT('Income Statement'!C25,"$#,##0")&amp;"."</f>
        <v>Equipment is stated at cost and depreciated on a straight line basis over 3 years. At December 31, 2025 its cost was $1,647, accumulated depreciation was $503, and 2025 depreciation expense was $503.</v>
      </c>
    </row>
    <row r="24" spans="1:1">
      <c r="A24" s="20" t="s">
        <v>132</v>
      </c>
    </row>
    <row r="25" spans="1:1" ht="42" customHeight="1">
      <c r="A25" s="14" t="s">
        <v>133</v>
      </c>
    </row>
    <row r="27" spans="1:1">
      <c r="A27" s="20" t="s">
        <v>134</v>
      </c>
    </row>
    <row r="28" spans="1:1" ht="16" customHeight="1">
      <c r="A28" s="14" t="str">
        <f>"Advertising, including eBay promoted listings, is expensed as incurred. It totaled "&amp;TEXT('Income Statement'!C19,"$#,##0")&amp;" in 2025."</f>
        <v>Advertising, including eBay promoted listings, is expensed as incurred. It totaled $6,754 in 2025.</v>
      </c>
    </row>
    <row r="30" spans="1:1">
      <c r="A30" s="20" t="s">
        <v>135</v>
      </c>
    </row>
    <row r="31" spans="1:1" ht="16" customHeight="1">
      <c r="A31" s="14" t="str">
        <f>"During 2025 the member contributed "&amp;TEXT('Schedules'!O32,"$#,##0")&amp;" and received distributions of "&amp;TEXT(-'Schedules'!O34,"$#,##0")&amp;"."</f>
        <v>During 2025 the member contributed $2,500 and received distributions of $9,000.</v>
      </c>
    </row>
    <row r="33" spans="1:1">
      <c r="A33" s="20" t="s">
        <v>136</v>
      </c>
    </row>
    <row r="34" spans="1:1" ht="29" customHeight="1">
      <c r="A34" s="14" t="str">
        <f>"eBay produced "&amp;TEXT('Data'!O6/('Data'!O6+'Data'!O7),"0%")&amp;" of merchandise sales, and Shopify the rest. Designer fragrance comes from a single wholesale supplier; losing it would interrupt sales until a replacement was found."</f>
        <v>eBay produced 58% of merchandise sales, and Shopify the rest. Designer fragrance comes from a single wholesale supplier; losing it would interrupt sales until a replacement was found.</v>
      </c>
    </row>
    <row r="36" spans="1:1">
      <c r="A36" s="20" t="s">
        <v>137</v>
      </c>
    </row>
    <row r="37" spans="1:1" ht="16" customHeight="1">
      <c r="A37" s="14" t="s">
        <v>138</v>
      </c>
    </row>
  </sheetData>
  <pageMargins left="0.7" right="0.7" top="0.7" bottom="0.7" header="0.3" footer="0.3"/>
  <pageSetup paperSize="1" fitToHeight="0" orientation="portrait"/>
  <headerFooter>
    <oddFooter>&amp;L&amp;8Escentials LLC · FY2025 · Illustrative figures&amp;R&amp;8&amp;A</oddFooter>
  </headerFooter>
</worksheet>
</file>

<file path=xl/worksheets/sheet7.xml><?xml version="1.0" encoding="utf-8"?>
<worksheet xmlns="http://schemas.openxmlformats.org/spreadsheetml/2006/main" xmlns:r="http://schemas.openxmlformats.org/officeDocument/2006/relationships">
  <sheetPr>
    <tabColor rgb="FF2E75B6"/>
    <pageSetUpPr fitToPage="1"/>
  </sheetPr>
  <dimension ref="A1:G40"/>
  <sheetViews>
    <sheetView workbookViewId="0"/>
  </sheetViews>
  <sheetFormatPr defaultRowHeight="15"/>
  <cols>
    <col min="1" max="1" width="40.7109375" customWidth="1"/>
    <col min="2" max="7" width="13.7109375" customWidth="1"/>
  </cols>
  <sheetData>
    <row r="1" spans="1:6">
      <c r="A1" s="15" t="s">
        <v>16</v>
      </c>
    </row>
    <row r="2" spans="1:6">
      <c r="A2" s="17" t="s">
        <v>139</v>
      </c>
    </row>
    <row r="3" spans="1:6">
      <c r="A3" s="18" t="s">
        <v>140</v>
      </c>
    </row>
    <row r="5" spans="1:6">
      <c r="A5" s="20" t="s">
        <v>141</v>
      </c>
    </row>
    <row r="6" spans="1:6">
      <c r="A6" s="6" t="s">
        <v>142</v>
      </c>
      <c r="B6" s="31" t="s">
        <v>31</v>
      </c>
      <c r="C6" s="31" t="s">
        <v>143</v>
      </c>
      <c r="D6" s="31" t="s">
        <v>144</v>
      </c>
      <c r="E6" s="31" t="s">
        <v>145</v>
      </c>
      <c r="F6" s="31" t="s">
        <v>146</v>
      </c>
    </row>
    <row r="7" spans="1:6">
      <c r="A7" s="22" t="s">
        <v>147</v>
      </c>
      <c r="B7" s="11">
        <f>'Budget'!O6</f>
        <v>176400</v>
      </c>
      <c r="C7" s="11">
        <f>'Monthly P&amp;L'!O14</f>
        <v>134006</v>
      </c>
      <c r="D7" s="10">
        <f>B7-C7</f>
        <v>42394</v>
      </c>
      <c r="E7" s="21">
        <f>IFERROR(D7/B7,0)</f>
        <v>0.240328798185941</v>
      </c>
      <c r="F7" s="32" t="str">
        <f>IF(D7&gt;=0,"Favorable","Unfavorable")</f>
        <v>Favorable</v>
      </c>
    </row>
    <row r="8" spans="1:6">
      <c r="A8" s="22" t="s">
        <v>148</v>
      </c>
      <c r="B8" s="11">
        <f>'Budget'!O7</f>
        <v>9600</v>
      </c>
      <c r="C8" s="11">
        <f>'Monthly P&amp;L'!O15</f>
        <v>6402.25</v>
      </c>
      <c r="D8" s="10">
        <f>B8-C8</f>
        <v>3197.75</v>
      </c>
      <c r="E8" s="21">
        <f>IFERROR(D8/B8,0)</f>
        <v>0.333098958333333</v>
      </c>
      <c r="F8" s="32" t="str">
        <f>IF(D8&gt;=0,"Favorable","Unfavorable")</f>
        <v>Favorable</v>
      </c>
    </row>
    <row r="9" spans="1:6">
      <c r="A9" s="22" t="s">
        <v>69</v>
      </c>
      <c r="B9" s="11">
        <f>'Budget'!O8</f>
        <v>14400</v>
      </c>
      <c r="C9" s="11">
        <f>'Monthly P&amp;L'!O22</f>
        <v>15851.1</v>
      </c>
      <c r="D9" s="10">
        <f>B9-C9</f>
        <v>-1451.1</v>
      </c>
      <c r="E9" s="21">
        <f>IFERROR(D9/B9,0)</f>
        <v>-0.100770833333333</v>
      </c>
      <c r="F9" s="32" t="str">
        <f>IF(D9&gt;=0,"Favorable","Unfavorable")</f>
        <v>Unfavorable</v>
      </c>
    </row>
    <row r="10" spans="1:6">
      <c r="A10" s="22" t="s">
        <v>70</v>
      </c>
      <c r="B10" s="11">
        <f>'Budget'!O9</f>
        <v>3600</v>
      </c>
      <c r="C10" s="11">
        <f>'Monthly P&amp;L'!O23</f>
        <v>3223.94</v>
      </c>
      <c r="D10" s="10">
        <f>B10-C10</f>
        <v>376.06</v>
      </c>
      <c r="E10" s="21">
        <f>IFERROR(D10/B10,0)</f>
        <v>0.104461111111111</v>
      </c>
      <c r="F10" s="32" t="str">
        <f>IF(D10&gt;=0,"Favorable","Unfavorable")</f>
        <v>Favorable</v>
      </c>
    </row>
    <row r="11" spans="1:6">
      <c r="A11" s="22" t="s">
        <v>71</v>
      </c>
      <c r="B11" s="11">
        <f>'Budget'!O10</f>
        <v>21600</v>
      </c>
      <c r="C11" s="11">
        <f>'Monthly P&amp;L'!O24</f>
        <v>17934.9</v>
      </c>
      <c r="D11" s="10">
        <f>B11-C11</f>
        <v>3665.1</v>
      </c>
      <c r="E11" s="21">
        <f>IFERROR(D11/B11,0)</f>
        <v>0.169680555555556</v>
      </c>
      <c r="F11" s="32" t="str">
        <f>IF(D11&gt;=0,"Favorable","Unfavorable")</f>
        <v>Favorable</v>
      </c>
    </row>
    <row r="12" spans="1:6">
      <c r="A12" s="22" t="s">
        <v>72</v>
      </c>
      <c r="B12" s="11">
        <f>'Budget'!O11</f>
        <v>6000</v>
      </c>
      <c r="C12" s="11">
        <f>'Monthly P&amp;L'!O25</f>
        <v>6754.06</v>
      </c>
      <c r="D12" s="10">
        <f>B12-C12</f>
        <v>-754.06</v>
      </c>
      <c r="E12" s="21">
        <f>IFERROR(D12/B12,0)</f>
        <v>-0.125676666666667</v>
      </c>
      <c r="F12" s="32" t="str">
        <f>IF(D12&gt;=0,"Favorable","Unfavorable")</f>
        <v>Unfavorable</v>
      </c>
    </row>
    <row r="13" spans="1:6">
      <c r="A13" s="22" t="s">
        <v>73</v>
      </c>
      <c r="B13" s="11">
        <f>'Budget'!O12</f>
        <v>1200</v>
      </c>
      <c r="C13" s="11">
        <f>'Monthly P&amp;L'!O26</f>
        <v>1036.1</v>
      </c>
      <c r="D13" s="10">
        <f>B13-C13</f>
        <v>163.9</v>
      </c>
      <c r="E13" s="21">
        <f>IFERROR(D13/B13,0)</f>
        <v>0.136583333333333</v>
      </c>
      <c r="F13" s="32" t="str">
        <f>IF(D13&gt;=0,"Favorable","Unfavorable")</f>
        <v>Favorable</v>
      </c>
    </row>
    <row r="14" spans="1:6">
      <c r="A14" s="22" t="s">
        <v>74</v>
      </c>
      <c r="B14" s="11">
        <f>'Budget'!O13</f>
        <v>1200</v>
      </c>
      <c r="C14" s="11">
        <f>'Monthly P&amp;L'!O27</f>
        <v>924.4</v>
      </c>
      <c r="D14" s="10">
        <f>B14-C14</f>
        <v>275.6</v>
      </c>
      <c r="E14" s="21">
        <f>IFERROR(D14/B14,0)</f>
        <v>0.229666666666667</v>
      </c>
      <c r="F14" s="32" t="str">
        <f>IF(D14&gt;=0,"Favorable","Unfavorable")</f>
        <v>Favorable</v>
      </c>
    </row>
    <row r="15" spans="1:6">
      <c r="A15" s="22" t="s">
        <v>75</v>
      </c>
      <c r="B15" s="11">
        <f>'Budget'!O14</f>
        <v>1200</v>
      </c>
      <c r="C15" s="11">
        <f>'Monthly P&amp;L'!O28</f>
        <v>970</v>
      </c>
      <c r="D15" s="10">
        <f>B15-C15</f>
        <v>230</v>
      </c>
      <c r="E15" s="21">
        <f>IFERROR(D15/B15,0)</f>
        <v>0.191666666666667</v>
      </c>
      <c r="F15" s="32" t="str">
        <f>IF(D15&gt;=0,"Favorable","Unfavorable")</f>
        <v>Favorable</v>
      </c>
    </row>
    <row r="16" spans="1:6">
      <c r="A16" s="22" t="s">
        <v>76</v>
      </c>
      <c r="B16" s="11">
        <f>'Budget'!O15</f>
        <v>1200</v>
      </c>
      <c r="C16" s="11">
        <f>'Monthly P&amp;L'!O29</f>
        <v>910</v>
      </c>
      <c r="D16" s="10">
        <f>B16-C16</f>
        <v>290</v>
      </c>
      <c r="E16" s="21">
        <f>IFERROR(D16/B16,0)</f>
        <v>0.241666666666667</v>
      </c>
      <c r="F16" s="32" t="str">
        <f>IF(D16&gt;=0,"Favorable","Unfavorable")</f>
        <v>Favorable</v>
      </c>
    </row>
    <row r="17" spans="1:7">
      <c r="A17" s="22" t="s">
        <v>77</v>
      </c>
      <c r="B17" s="11">
        <f>'Budget'!O16</f>
        <v>3600</v>
      </c>
      <c r="C17" s="11">
        <f>'Monthly P&amp;L'!O30</f>
        <v>1003.27</v>
      </c>
      <c r="D17" s="10">
        <f>B17-C17</f>
        <v>2596.73</v>
      </c>
      <c r="E17" s="21">
        <f>IFERROR(D17/B17,0)</f>
        <v>0.721313888888889</v>
      </c>
      <c r="F17" s="32" t="str">
        <f>IF(D17&gt;=0,"Favorable","Unfavorable")</f>
        <v>Favorable</v>
      </c>
    </row>
    <row r="18" spans="1:7">
      <c r="A18" s="28" t="s">
        <v>149</v>
      </c>
      <c r="B18" s="33">
        <f>SUM(B7:B17)</f>
        <v>240000</v>
      </c>
      <c r="C18" s="33">
        <f>SUM(C7:C17)</f>
        <v>189016.02</v>
      </c>
      <c r="D18" s="33">
        <f>B18-C18</f>
        <v>50983.98</v>
      </c>
      <c r="E18" s="30">
        <f>IFERROR(D18/B18,0)</f>
        <v>0.21243325</v>
      </c>
      <c r="F18" s="34" t="str">
        <f>IF(D18&gt;=0,"Favorable","Unfavorable")</f>
        <v>Favorable</v>
      </c>
    </row>
    <row r="20" spans="1:7">
      <c r="A20" s="20" t="s">
        <v>150</v>
      </c>
    </row>
    <row r="21" spans="1:7">
      <c r="A21" s="6" t="s">
        <v>151</v>
      </c>
      <c r="B21" s="31" t="s">
        <v>31</v>
      </c>
      <c r="C21" s="31" t="s">
        <v>143</v>
      </c>
      <c r="D21" s="31" t="s">
        <v>144</v>
      </c>
      <c r="E21" s="31" t="s">
        <v>145</v>
      </c>
      <c r="F21" s="31" t="s">
        <v>152</v>
      </c>
      <c r="G21" s="31" t="s">
        <v>146</v>
      </c>
    </row>
    <row r="22" spans="1:7">
      <c r="A22" s="22" t="s">
        <v>153</v>
      </c>
      <c r="B22" s="11">
        <f>'Budget'!C17</f>
        <v>20000</v>
      </c>
      <c r="C22" s="11">
        <f>'Monthly P&amp;L'!C42</f>
        <v>12760.2</v>
      </c>
      <c r="D22" s="10">
        <f>B22-C22</f>
        <v>7239.8</v>
      </c>
      <c r="E22" s="21">
        <f>IFERROR(D22/B22,0)</f>
        <v>0.36199</v>
      </c>
      <c r="F22" s="21">
        <f>IFERROR(C22/B22,0)</f>
        <v>0.63801</v>
      </c>
      <c r="G22" s="32" t="str">
        <f>IF(D22&gt;=0,"Favorable","Unfavorable")</f>
        <v>Favorable</v>
      </c>
    </row>
    <row r="23" spans="1:7">
      <c r="A23" s="22" t="s">
        <v>154</v>
      </c>
      <c r="B23" s="11">
        <f>'Budget'!D17</f>
        <v>20000</v>
      </c>
      <c r="C23" s="11">
        <f>'Monthly P&amp;L'!D42</f>
        <v>16129.13</v>
      </c>
      <c r="D23" s="10">
        <f>B23-C23</f>
        <v>3870.87</v>
      </c>
      <c r="E23" s="21">
        <f>IFERROR(D23/B23,0)</f>
        <v>0.1935435</v>
      </c>
      <c r="F23" s="21">
        <f>IFERROR(C23/B23,0)</f>
        <v>0.8064565</v>
      </c>
      <c r="G23" s="32" t="str">
        <f>IF(D23&gt;=0,"Favorable","Unfavorable")</f>
        <v>Favorable</v>
      </c>
    </row>
    <row r="24" spans="1:7">
      <c r="A24" s="22" t="s">
        <v>155</v>
      </c>
      <c r="B24" s="11">
        <f>'Budget'!E17</f>
        <v>20000</v>
      </c>
      <c r="C24" s="11">
        <f>'Monthly P&amp;L'!E42</f>
        <v>15058.62</v>
      </c>
      <c r="D24" s="10">
        <f>B24-C24</f>
        <v>4941.38</v>
      </c>
      <c r="E24" s="21">
        <f>IFERROR(D24/B24,0)</f>
        <v>0.247069</v>
      </c>
      <c r="F24" s="21">
        <f>IFERROR(C24/B24,0)</f>
        <v>0.752931</v>
      </c>
      <c r="G24" s="32" t="str">
        <f>IF(D24&gt;=0,"Favorable","Unfavorable")</f>
        <v>Favorable</v>
      </c>
    </row>
    <row r="25" spans="1:7">
      <c r="A25" s="22" t="s">
        <v>156</v>
      </c>
      <c r="B25" s="11">
        <f>'Budget'!F17</f>
        <v>20000</v>
      </c>
      <c r="C25" s="11">
        <f>'Monthly P&amp;L'!F42</f>
        <v>14258.12</v>
      </c>
      <c r="D25" s="10">
        <f>B25-C25</f>
        <v>5741.88</v>
      </c>
      <c r="E25" s="21">
        <f>IFERROR(D25/B25,0)</f>
        <v>0.287094</v>
      </c>
      <c r="F25" s="21">
        <f>IFERROR(C25/B25,0)</f>
        <v>0.712906</v>
      </c>
      <c r="G25" s="32" t="str">
        <f>IF(D25&gt;=0,"Favorable","Unfavorable")</f>
        <v>Favorable</v>
      </c>
    </row>
    <row r="26" spans="1:7">
      <c r="A26" s="22" t="s">
        <v>157</v>
      </c>
      <c r="B26" s="11">
        <f>'Budget'!G17</f>
        <v>20000</v>
      </c>
      <c r="C26" s="11">
        <f>'Monthly P&amp;L'!G42</f>
        <v>14844.23</v>
      </c>
      <c r="D26" s="10">
        <f>B26-C26</f>
        <v>5155.77</v>
      </c>
      <c r="E26" s="21">
        <f>IFERROR(D26/B26,0)</f>
        <v>0.2577885</v>
      </c>
      <c r="F26" s="21">
        <f>IFERROR(C26/B26,0)</f>
        <v>0.7422115</v>
      </c>
      <c r="G26" s="32" t="str">
        <f>IF(D26&gt;=0,"Favorable","Unfavorable")</f>
        <v>Favorable</v>
      </c>
    </row>
    <row r="27" spans="1:7">
      <c r="A27" s="22" t="s">
        <v>158</v>
      </c>
      <c r="B27" s="11">
        <f>'Budget'!H17</f>
        <v>20000</v>
      </c>
      <c r="C27" s="11">
        <f>'Monthly P&amp;L'!H42</f>
        <v>15437.86</v>
      </c>
      <c r="D27" s="10">
        <f>B27-C27</f>
        <v>4562.14</v>
      </c>
      <c r="E27" s="21">
        <f>IFERROR(D27/B27,0)</f>
        <v>0.228107</v>
      </c>
      <c r="F27" s="21">
        <f>IFERROR(C27/B27,0)</f>
        <v>0.771893</v>
      </c>
      <c r="G27" s="32" t="str">
        <f>IF(D27&gt;=0,"Favorable","Unfavorable")</f>
        <v>Favorable</v>
      </c>
    </row>
    <row r="28" spans="1:7">
      <c r="A28" s="22" t="s">
        <v>159</v>
      </c>
      <c r="B28" s="11">
        <f>'Budget'!I17</f>
        <v>20000</v>
      </c>
      <c r="C28" s="11">
        <f>'Monthly P&amp;L'!I42</f>
        <v>12670.69</v>
      </c>
      <c r="D28" s="10">
        <f>B28-C28</f>
        <v>7329.31</v>
      </c>
      <c r="E28" s="21">
        <f>IFERROR(D28/B28,0)</f>
        <v>0.3664655</v>
      </c>
      <c r="F28" s="21">
        <f>IFERROR(C28/B28,0)</f>
        <v>0.6335345</v>
      </c>
      <c r="G28" s="32" t="str">
        <f>IF(D28&gt;=0,"Favorable","Unfavorable")</f>
        <v>Favorable</v>
      </c>
    </row>
    <row r="29" spans="1:7">
      <c r="A29" s="22" t="s">
        <v>160</v>
      </c>
      <c r="B29" s="11">
        <f>'Budget'!J17</f>
        <v>20000</v>
      </c>
      <c r="C29" s="11">
        <f>'Monthly P&amp;L'!J42</f>
        <v>13345.36</v>
      </c>
      <c r="D29" s="10">
        <f>B29-C29</f>
        <v>6654.64</v>
      </c>
      <c r="E29" s="21">
        <f>IFERROR(D29/B29,0)</f>
        <v>0.332732</v>
      </c>
      <c r="F29" s="21">
        <f>IFERROR(C29/B29,0)</f>
        <v>0.667268</v>
      </c>
      <c r="G29" s="32" t="str">
        <f>IF(D29&gt;=0,"Favorable","Unfavorable")</f>
        <v>Favorable</v>
      </c>
    </row>
    <row r="30" spans="1:7">
      <c r="A30" s="22" t="s">
        <v>161</v>
      </c>
      <c r="B30" s="11">
        <f>'Budget'!K17</f>
        <v>20000</v>
      </c>
      <c r="C30" s="11">
        <f>'Monthly P&amp;L'!K42</f>
        <v>12926.06</v>
      </c>
      <c r="D30" s="10">
        <f>B30-C30</f>
        <v>7073.94</v>
      </c>
      <c r="E30" s="21">
        <f>IFERROR(D30/B30,0)</f>
        <v>0.353697</v>
      </c>
      <c r="F30" s="21">
        <f>IFERROR(C30/B30,0)</f>
        <v>0.646303</v>
      </c>
      <c r="G30" s="32" t="str">
        <f>IF(D30&gt;=0,"Favorable","Unfavorable")</f>
        <v>Favorable</v>
      </c>
    </row>
    <row r="31" spans="1:7">
      <c r="A31" s="22" t="s">
        <v>162</v>
      </c>
      <c r="B31" s="11">
        <f>'Budget'!L17</f>
        <v>20000</v>
      </c>
      <c r="C31" s="11">
        <f>'Monthly P&amp;L'!L42</f>
        <v>14115.83</v>
      </c>
      <c r="D31" s="10">
        <f>B31-C31</f>
        <v>5884.17</v>
      </c>
      <c r="E31" s="21">
        <f>IFERROR(D31/B31,0)</f>
        <v>0.2942085</v>
      </c>
      <c r="F31" s="21">
        <f>IFERROR(C31/B31,0)</f>
        <v>0.7057915</v>
      </c>
      <c r="G31" s="32" t="str">
        <f>IF(D31&gt;=0,"Favorable","Unfavorable")</f>
        <v>Favorable</v>
      </c>
    </row>
    <row r="32" spans="1:7">
      <c r="A32" s="22" t="s">
        <v>163</v>
      </c>
      <c r="B32" s="11">
        <f>'Budget'!M17</f>
        <v>20000</v>
      </c>
      <c r="C32" s="11">
        <f>'Monthly P&amp;L'!M42</f>
        <v>22442.88</v>
      </c>
      <c r="D32" s="10">
        <f>B32-C32</f>
        <v>-2442.88</v>
      </c>
      <c r="E32" s="21">
        <f>IFERROR(D32/B32,0)</f>
        <v>-0.122144</v>
      </c>
      <c r="F32" s="21">
        <f>IFERROR(C32/B32,0)</f>
        <v>1.122144</v>
      </c>
      <c r="G32" s="32" t="str">
        <f>IF(D32&gt;=0,"Favorable","Unfavorable")</f>
        <v>Unfavorable</v>
      </c>
    </row>
    <row r="33" spans="1:7">
      <c r="A33" s="22" t="s">
        <v>164</v>
      </c>
      <c r="B33" s="11">
        <f>'Budget'!N17</f>
        <v>20000</v>
      </c>
      <c r="C33" s="11">
        <f>'Monthly P&amp;L'!N42</f>
        <v>25027.04</v>
      </c>
      <c r="D33" s="10">
        <f>B33-C33</f>
        <v>-5027.04</v>
      </c>
      <c r="E33" s="21">
        <f>IFERROR(D33/B33,0)</f>
        <v>-0.251352</v>
      </c>
      <c r="F33" s="21">
        <f>IFERROR(C33/B33,0)</f>
        <v>1.251352</v>
      </c>
      <c r="G33" s="32" t="str">
        <f>IF(D33&gt;=0,"Favorable","Unfavorable")</f>
        <v>Unfavorable</v>
      </c>
    </row>
    <row r="34" spans="1:7">
      <c r="A34" s="28" t="s">
        <v>165</v>
      </c>
      <c r="B34" s="33">
        <f>SUM(B22:B33)</f>
        <v>240000</v>
      </c>
      <c r="C34" s="33">
        <f>SUM(C22:C33)</f>
        <v>189016.02</v>
      </c>
      <c r="D34" s="33">
        <f>B34-C34</f>
        <v>50983.98</v>
      </c>
      <c r="E34" s="30">
        <f>IFERROR(D34/B34,0)</f>
        <v>0.21243325</v>
      </c>
      <c r="F34" s="30">
        <f>IFERROR(C34/B34,0)</f>
        <v>0.78756675</v>
      </c>
      <c r="G34" s="34" t="str">
        <f>IF(D34&gt;=0,"Favorable","Unfavorable")</f>
        <v>Favorable</v>
      </c>
    </row>
    <row r="36" spans="1:7">
      <c r="A36" s="20" t="s">
        <v>166</v>
      </c>
    </row>
    <row r="37" spans="1:7">
      <c r="A37" s="22" t="s">
        <v>167</v>
      </c>
      <c r="B37" s="35" t="str">
        <f>INDEX(A22:A33,MATCH(MIN(D22:D33),D22:D33,0))</f>
        <v>Dec 2025</v>
      </c>
      <c r="C37" s="10"/>
      <c r="D37" s="10">
        <f>MIN(D22:D33)</f>
        <v>-5027.04</v>
      </c>
    </row>
    <row r="38" spans="1:7">
      <c r="A38" s="22" t="s">
        <v>168</v>
      </c>
      <c r="B38" s="35" t="str">
        <f>INDEX(A22:A33,MATCH(MAX(D22:D33),D22:D33,0))</f>
        <v>Jul 2025</v>
      </c>
      <c r="C38" s="10"/>
      <c r="D38" s="10">
        <f>MAX(D22:D33)</f>
        <v>7329.31</v>
      </c>
    </row>
    <row r="39" spans="1:7">
      <c r="A39" s="22" t="s">
        <v>169</v>
      </c>
      <c r="B39" s="35" t="str">
        <f>INDEX(A7:A17,MATCH(MIN(D7:D17),D7:D17,0))</f>
        <v>Marketplace fees</v>
      </c>
      <c r="C39" s="10"/>
      <c r="D39" s="10">
        <f>MIN(D7:D17)</f>
        <v>-1451.1</v>
      </c>
    </row>
    <row r="40" spans="1:7">
      <c r="A40" s="22" t="s">
        <v>170</v>
      </c>
      <c r="B40" s="35" t="str">
        <f>INDEX(A7:A17,MATCH(MAX(D7:D17),D7:D17,0))</f>
        <v>Designer fragrance COGS</v>
      </c>
      <c r="C40" s="10"/>
      <c r="D40" s="10">
        <f>MAX(D7:D17)</f>
        <v>42394</v>
      </c>
    </row>
  </sheetData>
  <conditionalFormatting sqref="D22:D34">
    <cfRule type="cellIs" dxfId="0" priority="3" operator="greaterThanOrEqual">
      <formula>0</formula>
    </cfRule>
    <cfRule type="cellIs" dxfId="1" priority="4" operator="lessThan">
      <formula>0</formula>
    </cfRule>
  </conditionalFormatting>
  <conditionalFormatting sqref="D7:D18">
    <cfRule type="cellIs" dxfId="0" priority="1" operator="greaterThanOrEqual">
      <formula>0</formula>
    </cfRule>
    <cfRule type="cellIs" dxfId="1" priority="2" operator="lessThan">
      <formula>0</formula>
    </cfRule>
  </conditionalFormatting>
  <conditionalFormatting sqref="F7:F18">
    <cfRule type="beginsWith" dxfId="0" priority="5" operator="beginsWith" text="Fav">
      <formula>LEFT(F7,3)="Fav"</formula>
    </cfRule>
    <cfRule type="beginsWith" dxfId="1" priority="6" operator="beginsWith" text="Unf">
      <formula>LEFT(F7,3)="Unf"</formula>
    </cfRule>
  </conditionalFormatting>
  <conditionalFormatting sqref="G22:G34">
    <cfRule type="beginsWith" dxfId="0" priority="7" operator="beginsWith" text="Fav">
      <formula>LEFT(G22,3)="Fav"</formula>
    </cfRule>
    <cfRule type="beginsWith" dxfId="1" priority="8" operator="beginsWith" text="Unf">
      <formula>LEFT(G22,3)="Unf"</formula>
    </cfRule>
  </conditionalFormatting>
  <pageMargins left="0.4" right="0.4" top="0.5" bottom="0.5" header="0.3" footer="0.3"/>
  <pageSetup paperSize="1" orientation="landscape"/>
  <headerFooter>
    <oddFooter>&amp;L&amp;8Escentials LLC · FY2025 · Illustrative figures&amp;R&amp;8&amp;A</oddFooter>
  </headerFooter>
</worksheet>
</file>

<file path=xl/worksheets/sheet8.xml><?xml version="1.0" encoding="utf-8"?>
<worksheet xmlns="http://schemas.openxmlformats.org/spreadsheetml/2006/main" xmlns:r="http://schemas.openxmlformats.org/officeDocument/2006/relationships">
  <sheetPr>
    <tabColor rgb="FF2E75B6"/>
    <pageSetUpPr fitToPage="1"/>
  </sheetPr>
  <dimension ref="A1:O3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7109375" hidden="1" customWidth="1"/>
    <col min="3" max="14" width="10.28515625" customWidth="1"/>
    <col min="15" max="15" width="11.7109375" customWidth="1"/>
  </cols>
  <sheetData>
    <row r="1" spans="1:15">
      <c r="A1" s="15" t="s">
        <v>171</v>
      </c>
    </row>
    <row r="2" spans="1:15">
      <c r="A2" s="17" t="s">
        <v>172</v>
      </c>
    </row>
    <row r="3" spans="1:15">
      <c r="A3" s="18" t="s">
        <v>140</v>
      </c>
    </row>
    <row r="4" spans="1:15">
      <c r="A4" s="6" t="s">
        <v>58</v>
      </c>
      <c r="C4" s="36">
        <v>46053</v>
      </c>
      <c r="D4" s="36">
        <v>46081</v>
      </c>
      <c r="E4" s="36">
        <v>46112</v>
      </c>
      <c r="F4" s="36">
        <v>46142</v>
      </c>
      <c r="G4" s="36">
        <v>46173</v>
      </c>
      <c r="H4" s="36">
        <v>46203</v>
      </c>
      <c r="I4" s="36">
        <v>46234</v>
      </c>
      <c r="J4" s="36">
        <v>46265</v>
      </c>
      <c r="K4" s="36">
        <v>46295</v>
      </c>
      <c r="L4" s="36">
        <v>46326</v>
      </c>
      <c r="M4" s="36">
        <v>46356</v>
      </c>
      <c r="N4" s="36">
        <v>46387</v>
      </c>
      <c r="O4" s="31" t="s">
        <v>173</v>
      </c>
    </row>
    <row r="5" spans="1:15">
      <c r="A5" s="20" t="str">
        <f>"Scenario: "&amp;CHOOSE('Assumptions'!$B$32,"Base","Upside","Downside")&amp;" (choose it on the Assumptions sheet)"</f>
        <v>Scenario: Base (choose it on the Assumptions sheet)</v>
      </c>
      <c r="C5" s="10"/>
      <c r="D5" s="10"/>
      <c r="E5" s="10"/>
      <c r="F5" s="10"/>
      <c r="G5" s="10"/>
      <c r="H5" s="10"/>
      <c r="I5" s="10"/>
      <c r="J5" s="10"/>
      <c r="K5" s="10"/>
      <c r="L5" s="10"/>
      <c r="M5" s="10"/>
      <c r="N5" s="10"/>
      <c r="O5" s="10"/>
    </row>
    <row r="6" spans="1:15">
      <c r="A6" s="22" t="s">
        <v>174</v>
      </c>
      <c r="C6" s="11">
        <f>'Monthly P&amp;L'!C11*(1+'Assumptions'!$E$34)</f>
        <v>14978.909</v>
      </c>
      <c r="D6" s="11">
        <f>'Monthly P&amp;L'!D11*(1+'Assumptions'!$E$34)</f>
        <v>19124.963</v>
      </c>
      <c r="E6" s="11">
        <f>'Monthly P&amp;L'!E11*(1+'Assumptions'!$E$34)</f>
        <v>16707.856</v>
      </c>
      <c r="F6" s="11">
        <f>'Monthly P&amp;L'!F11*(1+'Assumptions'!$E$34)</f>
        <v>16004.527</v>
      </c>
      <c r="G6" s="11">
        <f>'Monthly P&amp;L'!G11*(1+'Assumptions'!$E$34)</f>
        <v>17752.999</v>
      </c>
      <c r="H6" s="11">
        <f>'Monthly P&amp;L'!H11*(1+'Assumptions'!$E$34)</f>
        <v>18657.518</v>
      </c>
      <c r="I6" s="11">
        <f>'Monthly P&amp;L'!I11*(1+'Assumptions'!$E$34)</f>
        <v>15053.071</v>
      </c>
      <c r="J6" s="11">
        <f>'Monthly P&amp;L'!J11*(1+'Assumptions'!$E$34)</f>
        <v>15660.403</v>
      </c>
      <c r="K6" s="11">
        <f>'Monthly P&amp;L'!K11*(1+'Assumptions'!$E$34)</f>
        <v>15858.579</v>
      </c>
      <c r="L6" s="11">
        <f>'Monthly P&amp;L'!L11*(1+'Assumptions'!$E$34)</f>
        <v>17163.025</v>
      </c>
      <c r="M6" s="11">
        <f>'Monthly P&amp;L'!M11*(1+'Assumptions'!$E$34)</f>
        <v>26543.033</v>
      </c>
      <c r="N6" s="11">
        <f>'Monthly P&amp;L'!N11*(1+'Assumptions'!$E$34)</f>
        <v>29502.704</v>
      </c>
      <c r="O6" s="10">
        <f>SUM(C6:N6)</f>
        <v>223007.587</v>
      </c>
    </row>
    <row r="7" spans="1:15">
      <c r="A7" s="37" t="s">
        <v>175</v>
      </c>
      <c r="C7" s="38">
        <f>'Monthly P&amp;L'!$O$19+'Assumptions'!$E$35</f>
        <v>0.312426814137942</v>
      </c>
      <c r="D7" s="38">
        <f>'Monthly P&amp;L'!$O$19+'Assumptions'!$E$35</f>
        <v>0.312426814137942</v>
      </c>
      <c r="E7" s="38">
        <f>'Monthly P&amp;L'!$O$19+'Assumptions'!$E$35</f>
        <v>0.312426814137942</v>
      </c>
      <c r="F7" s="38">
        <f>'Monthly P&amp;L'!$O$19+'Assumptions'!$E$35</f>
        <v>0.312426814137942</v>
      </c>
      <c r="G7" s="38">
        <f>'Monthly P&amp;L'!$O$19+'Assumptions'!$E$35</f>
        <v>0.312426814137942</v>
      </c>
      <c r="H7" s="38">
        <f>'Monthly P&amp;L'!$O$19+'Assumptions'!$E$35</f>
        <v>0.312426814137942</v>
      </c>
      <c r="I7" s="38">
        <f>'Monthly P&amp;L'!$O$19+'Assumptions'!$E$35</f>
        <v>0.312426814137942</v>
      </c>
      <c r="J7" s="38">
        <f>'Monthly P&amp;L'!$O$19+'Assumptions'!$E$35</f>
        <v>0.312426814137942</v>
      </c>
      <c r="K7" s="38">
        <f>'Monthly P&amp;L'!$O$19+'Assumptions'!$E$35</f>
        <v>0.312426814137942</v>
      </c>
      <c r="L7" s="38">
        <f>'Monthly P&amp;L'!$O$19+'Assumptions'!$E$35</f>
        <v>0.312426814137942</v>
      </c>
      <c r="M7" s="38">
        <f>'Monthly P&amp;L'!$O$19+'Assumptions'!$E$35</f>
        <v>0.312426814137942</v>
      </c>
      <c r="N7" s="38">
        <f>'Monthly P&amp;L'!$O$19+'Assumptions'!$E$35</f>
        <v>0.312426814137942</v>
      </c>
      <c r="O7" s="39">
        <f>IFERROR(O9/O6,0)</f>
        <v>0.312426814137942</v>
      </c>
    </row>
    <row r="8" spans="1:15">
      <c r="A8" s="22" t="s">
        <v>66</v>
      </c>
      <c r="C8" s="10">
        <f>C6*(1-C7)</f>
        <v>10299.0961818679</v>
      </c>
      <c r="D8" s="10">
        <f>D6*(1-D7)</f>
        <v>13149.811739404</v>
      </c>
      <c r="E8" s="10">
        <f>E6*(1-E7)</f>
        <v>11487.8737788445</v>
      </c>
      <c r="F8" s="10">
        <f>F6*(1-F7)</f>
        <v>11004.2836176053</v>
      </c>
      <c r="G8" s="10">
        <f>G6*(1-G7)</f>
        <v>12206.4860810359</v>
      </c>
      <c r="H8" s="10">
        <f>H6*(1-H7)</f>
        <v>12828.4090915387</v>
      </c>
      <c r="I8" s="10">
        <f>I6*(1-I7)</f>
        <v>10350.0879844778</v>
      </c>
      <c r="J8" s="10">
        <f>J6*(1-J7)</f>
        <v>10767.6731825937</v>
      </c>
      <c r="K8" s="10">
        <f>K6*(1-K7)</f>
        <v>10903.9336862751</v>
      </c>
      <c r="L8" s="10">
        <f>L6*(1-L7)</f>
        <v>11800.8357782801</v>
      </c>
      <c r="M8" s="10">
        <f>M6*(1-M7)</f>
        <v>18250.2777622517</v>
      </c>
      <c r="N8" s="10">
        <f>N6*(1-N7)</f>
        <v>20285.2681808253</v>
      </c>
      <c r="O8" s="10">
        <f>SUM(C8:N8)</f>
        <v>153334.037065</v>
      </c>
    </row>
    <row r="9" spans="1:15">
      <c r="A9" s="24" t="s">
        <v>67</v>
      </c>
      <c r="C9" s="27">
        <f>C6-C8</f>
        <v>4679.81281813215</v>
      </c>
      <c r="D9" s="27">
        <f>D6-D8</f>
        <v>5975.15126059602</v>
      </c>
      <c r="E9" s="27">
        <f>E6-E8</f>
        <v>5219.9822211555</v>
      </c>
      <c r="F9" s="27">
        <f>F6-F8</f>
        <v>5000.24338239468</v>
      </c>
      <c r="G9" s="27">
        <f>G6-G8</f>
        <v>5546.51291896408</v>
      </c>
      <c r="H9" s="27">
        <f>H6-H8</f>
        <v>5829.10890846131</v>
      </c>
      <c r="I9" s="27">
        <f>I6-I8</f>
        <v>4702.98301552225</v>
      </c>
      <c r="J9" s="27">
        <f>J6-J8</f>
        <v>4892.72981740627</v>
      </c>
      <c r="K9" s="27">
        <f>K6-K8</f>
        <v>4954.64531372488</v>
      </c>
      <c r="L9" s="27">
        <f>L6-L8</f>
        <v>5362.18922171986</v>
      </c>
      <c r="M9" s="27">
        <f>M6-M8</f>
        <v>8292.75523774827</v>
      </c>
      <c r="N9" s="27">
        <f>N6-N8</f>
        <v>9217.43581917473</v>
      </c>
      <c r="O9" s="27">
        <f>SUM(C9:N9)</f>
        <v>69673.549935</v>
      </c>
    </row>
    <row r="10" spans="1:15">
      <c r="A10" s="22" t="s">
        <v>176</v>
      </c>
      <c r="C10" s="11">
        <f>C6*'Assumptions'!$B$28</f>
        <v>3310.03215240381</v>
      </c>
      <c r="D10" s="11">
        <f>D6*'Assumptions'!$B$28</f>
        <v>4226.22518392583</v>
      </c>
      <c r="E10" s="11">
        <f>E6*'Assumptions'!$B$28</f>
        <v>3692.09403420055</v>
      </c>
      <c r="F10" s="11">
        <f>F6*'Assumptions'!$B$28</f>
        <v>3536.67272790127</v>
      </c>
      <c r="G10" s="11">
        <f>G6*'Assumptions'!$B$28</f>
        <v>3923.04923486702</v>
      </c>
      <c r="H10" s="11">
        <f>H6*'Assumptions'!$B$28</f>
        <v>4122.92941121766</v>
      </c>
      <c r="I10" s="11">
        <f>I6*'Assumptions'!$B$28</f>
        <v>3326.42043572181</v>
      </c>
      <c r="J10" s="11">
        <f>J6*'Assumptions'!$B$28</f>
        <v>3460.62837083803</v>
      </c>
      <c r="K10" s="11">
        <f>K6*'Assumptions'!$B$28</f>
        <v>3504.42120860978</v>
      </c>
      <c r="L10" s="11">
        <f>L6*'Assumptions'!$B$28</f>
        <v>3792.67706229542</v>
      </c>
      <c r="M10" s="11">
        <f>M6*'Assumptions'!$B$28</f>
        <v>5865.46674743237</v>
      </c>
      <c r="N10" s="11">
        <f>N6*'Assumptions'!$B$28</f>
        <v>6519.49343058647</v>
      </c>
      <c r="O10" s="10">
        <f>SUM(C10:N10)</f>
        <v>49280.11</v>
      </c>
    </row>
    <row r="11" spans="1:15">
      <c r="A11" s="22" t="s">
        <v>177</v>
      </c>
      <c r="C11" s="11">
        <f>'Assumptions'!$B$29*(1+'Assumptions'!$E$36)</f>
        <v>333.171125</v>
      </c>
      <c r="D11" s="11">
        <f>'Assumptions'!$B$29*(1+'Assumptions'!$E$36)</f>
        <v>333.171125</v>
      </c>
      <c r="E11" s="11">
        <f>'Assumptions'!$B$29*(1+'Assumptions'!$E$36)</f>
        <v>333.171125</v>
      </c>
      <c r="F11" s="11">
        <f>'Assumptions'!$B$29*(1+'Assumptions'!$E$36)</f>
        <v>333.171125</v>
      </c>
      <c r="G11" s="11">
        <f>'Assumptions'!$B$29*(1+'Assumptions'!$E$36)</f>
        <v>333.171125</v>
      </c>
      <c r="H11" s="11">
        <f>'Assumptions'!$B$29*(1+'Assumptions'!$E$36)</f>
        <v>333.171125</v>
      </c>
      <c r="I11" s="11">
        <f>'Assumptions'!$B$29*(1+'Assumptions'!$E$36)</f>
        <v>333.171125</v>
      </c>
      <c r="J11" s="11">
        <f>'Assumptions'!$B$29*(1+'Assumptions'!$E$36)</f>
        <v>333.171125</v>
      </c>
      <c r="K11" s="11">
        <f>'Assumptions'!$B$29*(1+'Assumptions'!$E$36)</f>
        <v>333.171125</v>
      </c>
      <c r="L11" s="11">
        <f>'Assumptions'!$B$29*(1+'Assumptions'!$E$36)</f>
        <v>333.171125</v>
      </c>
      <c r="M11" s="11">
        <f>'Assumptions'!$B$29*(1+'Assumptions'!$E$36)</f>
        <v>333.171125</v>
      </c>
      <c r="N11" s="11">
        <f>'Assumptions'!$B$29*(1+'Assumptions'!$E$36)</f>
        <v>333.171125</v>
      </c>
      <c r="O11" s="10">
        <f>SUM(C11:N11)</f>
        <v>3998.0535</v>
      </c>
    </row>
    <row r="12" spans="1:15">
      <c r="A12" s="22" t="s">
        <v>178</v>
      </c>
      <c r="C12" s="11">
        <f>'Monthly P&amp;L'!$N$31</f>
        <v>45.75</v>
      </c>
      <c r="D12" s="11">
        <f>'Monthly P&amp;L'!$N$31</f>
        <v>45.75</v>
      </c>
      <c r="E12" s="11">
        <f>'Monthly P&amp;L'!$N$31</f>
        <v>45.75</v>
      </c>
      <c r="F12" s="11">
        <f>'Monthly P&amp;L'!$N$31</f>
        <v>45.75</v>
      </c>
      <c r="G12" s="11">
        <f>'Monthly P&amp;L'!$N$31</f>
        <v>45.75</v>
      </c>
      <c r="H12" s="11">
        <f>'Monthly P&amp;L'!$N$31</f>
        <v>45.75</v>
      </c>
      <c r="I12" s="11">
        <f>'Monthly P&amp;L'!$N$31</f>
        <v>45.75</v>
      </c>
      <c r="J12" s="11">
        <f>'Monthly P&amp;L'!$N$31</f>
        <v>45.75</v>
      </c>
      <c r="K12" s="11">
        <f>'Monthly P&amp;L'!$N$31</f>
        <v>45.75</v>
      </c>
      <c r="L12" s="11">
        <f>'Monthly P&amp;L'!$N$31</f>
        <v>45.75</v>
      </c>
      <c r="M12" s="11">
        <f>'Monthly P&amp;L'!$N$31</f>
        <v>45.75</v>
      </c>
      <c r="N12" s="11">
        <f>'Monthly P&amp;L'!$N$31</f>
        <v>45.75</v>
      </c>
      <c r="O12" s="10">
        <f>SUM(C12:N12)</f>
        <v>549</v>
      </c>
    </row>
    <row r="13" spans="1:15">
      <c r="A13" s="24" t="s">
        <v>79</v>
      </c>
      <c r="C13" s="27">
        <f>SUM(C10:C12)</f>
        <v>3688.95327740381</v>
      </c>
      <c r="D13" s="27">
        <f>SUM(D10:D12)</f>
        <v>4605.14630892583</v>
      </c>
      <c r="E13" s="27">
        <f>SUM(E10:E12)</f>
        <v>4071.01515920055</v>
      </c>
      <c r="F13" s="27">
        <f>SUM(F10:F12)</f>
        <v>3915.59385290127</v>
      </c>
      <c r="G13" s="27">
        <f>SUM(G10:G12)</f>
        <v>4301.97035986702</v>
      </c>
      <c r="H13" s="27">
        <f>SUM(H10:H12)</f>
        <v>4501.85053621766</v>
      </c>
      <c r="I13" s="27">
        <f>SUM(I10:I12)</f>
        <v>3705.34156072181</v>
      </c>
      <c r="J13" s="27">
        <f>SUM(J10:J12)</f>
        <v>3839.54949583803</v>
      </c>
      <c r="K13" s="27">
        <f>SUM(K10:K12)</f>
        <v>3883.34233360978</v>
      </c>
      <c r="L13" s="27">
        <f>SUM(L10:L12)</f>
        <v>4171.59818729542</v>
      </c>
      <c r="M13" s="27">
        <f>SUM(M10:M12)</f>
        <v>6244.38787243237</v>
      </c>
      <c r="N13" s="27">
        <f>SUM(N10:N12)</f>
        <v>6898.41455558647</v>
      </c>
      <c r="O13" s="27">
        <f>SUM(C13:N13)</f>
        <v>53827.1635</v>
      </c>
    </row>
    <row r="14" spans="1:15">
      <c r="A14" s="22"/>
      <c r="C14" s="10"/>
      <c r="D14" s="10"/>
      <c r="E14" s="10"/>
      <c r="F14" s="10"/>
      <c r="G14" s="10"/>
      <c r="H14" s="10"/>
      <c r="I14" s="10"/>
      <c r="J14" s="10"/>
      <c r="K14" s="10"/>
      <c r="L14" s="10"/>
      <c r="M14" s="10"/>
      <c r="N14" s="10"/>
      <c r="O14" s="10"/>
    </row>
    <row r="15" spans="1:15">
      <c r="A15" s="28" t="s">
        <v>81</v>
      </c>
      <c r="C15" s="33">
        <f>C9-C13</f>
        <v>990.859540728341</v>
      </c>
      <c r="D15" s="33">
        <f>D9-D13</f>
        <v>1370.0049516702</v>
      </c>
      <c r="E15" s="33">
        <f>E9-E13</f>
        <v>1148.96706195495</v>
      </c>
      <c r="F15" s="33">
        <f>F9-F13</f>
        <v>1084.64952949341</v>
      </c>
      <c r="G15" s="33">
        <f>G9-G13</f>
        <v>1244.54255909706</v>
      </c>
      <c r="H15" s="33">
        <f>H9-H13</f>
        <v>1327.25837224366</v>
      </c>
      <c r="I15" s="33">
        <f>I9-I13</f>
        <v>997.641454800437</v>
      </c>
      <c r="J15" s="33">
        <f>J9-J13</f>
        <v>1053.18032156825</v>
      </c>
      <c r="K15" s="33">
        <f>K9-K13</f>
        <v>1071.3029801151</v>
      </c>
      <c r="L15" s="33">
        <f>L9-L13</f>
        <v>1190.59103442444</v>
      </c>
      <c r="M15" s="33">
        <f>M9-M13</f>
        <v>2048.3673653159</v>
      </c>
      <c r="N15" s="33">
        <f>N9-N13</f>
        <v>2319.02126358826</v>
      </c>
      <c r="O15" s="33">
        <f>SUM(C15:N15)</f>
        <v>15846.386435</v>
      </c>
    </row>
    <row r="16" spans="1:15">
      <c r="A16" s="37" t="s">
        <v>179</v>
      </c>
      <c r="C16" s="39">
        <f>IFERROR(C15/C6,0)</f>
        <v>0.0661503144673848</v>
      </c>
      <c r="D16" s="39">
        <f>IFERROR(D15/D6,0)</f>
        <v>0.0716343844257474</v>
      </c>
      <c r="E16" s="39">
        <f>IFERROR(E15/E6,0)</f>
        <v>0.0687680730522788</v>
      </c>
      <c r="F16" s="39">
        <f>IFERROR(F15/F6,0)</f>
        <v>0.0677714205170455</v>
      </c>
      <c r="G16" s="39">
        <f>IFERROR(G15/G6,0)</f>
        <v>0.0701032292683088</v>
      </c>
      <c r="H16" s="39">
        <f>IFERROR(H15/H6,0)</f>
        <v>0.0711379923226475</v>
      </c>
      <c r="I16" s="39">
        <f>IFERROR(I15/I6,0)</f>
        <v>0.0662749451457737</v>
      </c>
      <c r="J16" s="39">
        <f>IFERROR(J15/J6,0)</f>
        <v>0.0672511634322722</v>
      </c>
      <c r="K16" s="39">
        <f>IFERROR(K15/K6,0)</f>
        <v>0.0675535292358223</v>
      </c>
      <c r="L16" s="39">
        <f>IFERROR(L15/L6,0)</f>
        <v>0.0693695333092177</v>
      </c>
      <c r="M16" s="39">
        <f>IFERROR(M15/M6,0)</f>
        <v>0.0771715638267828</v>
      </c>
      <c r="N16" s="39">
        <f>IFERROR(N15/N6,0)</f>
        <v>0.078603685397388</v>
      </c>
      <c r="O16" s="39">
        <f>IFERROR(O15/O6,0)</f>
        <v>0.0710576113044979</v>
      </c>
    </row>
    <row r="17" spans="1:15">
      <c r="A17" s="22"/>
      <c r="C17" s="10"/>
      <c r="D17" s="10"/>
      <c r="E17" s="10"/>
      <c r="F17" s="10"/>
      <c r="G17" s="10"/>
      <c r="H17" s="10"/>
      <c r="I17" s="10"/>
      <c r="J17" s="10"/>
      <c r="K17" s="10"/>
      <c r="L17" s="10"/>
      <c r="M17" s="10"/>
      <c r="N17" s="10"/>
      <c r="O17" s="10"/>
    </row>
    <row r="18" spans="1:15">
      <c r="A18" s="20" t="s">
        <v>180</v>
      </c>
      <c r="C18" s="10"/>
      <c r="D18" s="10"/>
      <c r="E18" s="10"/>
      <c r="F18" s="10"/>
      <c r="G18" s="10"/>
      <c r="H18" s="10"/>
      <c r="I18" s="10"/>
      <c r="J18" s="10"/>
      <c r="K18" s="10"/>
      <c r="L18" s="10"/>
      <c r="M18" s="10"/>
      <c r="N18" s="10"/>
      <c r="O18" s="10"/>
    </row>
    <row r="19" spans="1:15">
      <c r="A19" s="22" t="s">
        <v>181</v>
      </c>
      <c r="C19" s="11">
        <f>'Monthly BS'!$N$6</f>
        <v>13286.1690322581</v>
      </c>
      <c r="D19" s="10">
        <f>C24</f>
        <v>13422.7785729864</v>
      </c>
      <c r="E19" s="10">
        <f>D24</f>
        <v>13938.5335246566</v>
      </c>
      <c r="F19" s="10">
        <f>E24</f>
        <v>14233.2505866116</v>
      </c>
      <c r="G19" s="10">
        <f>F24</f>
        <v>14463.650116105</v>
      </c>
      <c r="H19" s="10">
        <f>G24</f>
        <v>14853.942675202</v>
      </c>
      <c r="I19" s="10">
        <f>H24</f>
        <v>15326.9510474457</v>
      </c>
      <c r="J19" s="10">
        <f>I24</f>
        <v>15470.3425022461</v>
      </c>
      <c r="K19" s="10">
        <f>J24</f>
        <v>15669.2728238144</v>
      </c>
      <c r="L19" s="10">
        <f>K24</f>
        <v>15886.3258039295</v>
      </c>
      <c r="M19" s="10">
        <f>L24</f>
        <v>16222.6668383539</v>
      </c>
      <c r="N19" s="10">
        <f>M24</f>
        <v>17416.7842036698</v>
      </c>
      <c r="O19" s="10">
        <f>C19</f>
        <v>13286.1690322581</v>
      </c>
    </row>
    <row r="20" spans="1:15">
      <c r="A20" s="22" t="s">
        <v>81</v>
      </c>
      <c r="C20" s="10">
        <f>C15</f>
        <v>990.859540728341</v>
      </c>
      <c r="D20" s="10">
        <f>D15</f>
        <v>1370.0049516702</v>
      </c>
      <c r="E20" s="10">
        <f>E15</f>
        <v>1148.96706195495</v>
      </c>
      <c r="F20" s="10">
        <f>F15</f>
        <v>1084.64952949341</v>
      </c>
      <c r="G20" s="10">
        <f>G15</f>
        <v>1244.54255909706</v>
      </c>
      <c r="H20" s="10">
        <f>H15</f>
        <v>1327.25837224366</v>
      </c>
      <c r="I20" s="10">
        <f>I15</f>
        <v>997.641454800437</v>
      </c>
      <c r="J20" s="10">
        <f>J15</f>
        <v>1053.18032156825</v>
      </c>
      <c r="K20" s="10">
        <f>K15</f>
        <v>1071.3029801151</v>
      </c>
      <c r="L20" s="10">
        <f>L15</f>
        <v>1190.59103442444</v>
      </c>
      <c r="M20" s="10">
        <f>M15</f>
        <v>2048.3673653159</v>
      </c>
      <c r="N20" s="10">
        <f>N15</f>
        <v>2319.02126358826</v>
      </c>
      <c r="O20" s="10">
        <f>SUM(C20:N20)</f>
        <v>15846.386435</v>
      </c>
    </row>
    <row r="21" spans="1:15">
      <c r="A21" s="22" t="s">
        <v>182</v>
      </c>
      <c r="C21" s="10">
        <f>C12</f>
        <v>45.75</v>
      </c>
      <c r="D21" s="10">
        <f>D12</f>
        <v>45.75</v>
      </c>
      <c r="E21" s="10">
        <f>E12</f>
        <v>45.75</v>
      </c>
      <c r="F21" s="10">
        <f>F12</f>
        <v>45.75</v>
      </c>
      <c r="G21" s="10">
        <f>G12</f>
        <v>45.75</v>
      </c>
      <c r="H21" s="10">
        <f>H12</f>
        <v>45.75</v>
      </c>
      <c r="I21" s="10">
        <f>I12</f>
        <v>45.75</v>
      </c>
      <c r="J21" s="10">
        <f>J12</f>
        <v>45.75</v>
      </c>
      <c r="K21" s="10">
        <f>K12</f>
        <v>45.75</v>
      </c>
      <c r="L21" s="10">
        <f>L12</f>
        <v>45.75</v>
      </c>
      <c r="M21" s="10">
        <f>M12</f>
        <v>45.75</v>
      </c>
      <c r="N21" s="10">
        <f>N12</f>
        <v>45.75</v>
      </c>
      <c r="O21" s="10">
        <f>SUM(C21:N21)</f>
        <v>549</v>
      </c>
    </row>
    <row r="22" spans="1:15">
      <c r="A22" s="22" t="s">
        <v>113</v>
      </c>
      <c r="C22" s="11">
        <f>-'Assumptions'!$E$37</f>
        <v>-800</v>
      </c>
      <c r="D22" s="11">
        <f>-'Assumptions'!$E$37</f>
        <v>-800</v>
      </c>
      <c r="E22" s="11">
        <f>-'Assumptions'!$E$37</f>
        <v>-800</v>
      </c>
      <c r="F22" s="11">
        <f>-'Assumptions'!$E$37</f>
        <v>-800</v>
      </c>
      <c r="G22" s="11">
        <f>-'Assumptions'!$E$37</f>
        <v>-800</v>
      </c>
      <c r="H22" s="11">
        <f>-'Assumptions'!$E$37</f>
        <v>-800</v>
      </c>
      <c r="I22" s="11">
        <f>-'Assumptions'!$E$37</f>
        <v>-800</v>
      </c>
      <c r="J22" s="11">
        <f>-'Assumptions'!$E$37</f>
        <v>-800</v>
      </c>
      <c r="K22" s="11">
        <f>-'Assumptions'!$E$37</f>
        <v>-800</v>
      </c>
      <c r="L22" s="11">
        <f>-'Assumptions'!$E$37</f>
        <v>-800</v>
      </c>
      <c r="M22" s="11">
        <f>-'Assumptions'!$E$37</f>
        <v>-800</v>
      </c>
      <c r="N22" s="11">
        <f>-'Assumptions'!$E$37</f>
        <v>-800</v>
      </c>
      <c r="O22" s="10">
        <f>SUM(C22:N22)</f>
        <v>-9600</v>
      </c>
    </row>
    <row r="23" spans="1:15">
      <c r="A23" s="22" t="s">
        <v>183</v>
      </c>
      <c r="C23" s="11">
        <f>-'Assumptions'!$E$38/12</f>
        <v>-100</v>
      </c>
      <c r="D23" s="11">
        <f>-'Assumptions'!$E$38/12</f>
        <v>-100</v>
      </c>
      <c r="E23" s="11">
        <f>-'Assumptions'!$E$38/12</f>
        <v>-100</v>
      </c>
      <c r="F23" s="11">
        <f>-'Assumptions'!$E$38/12</f>
        <v>-100</v>
      </c>
      <c r="G23" s="11">
        <f>-'Assumptions'!$E$38/12</f>
        <v>-100</v>
      </c>
      <c r="H23" s="11">
        <f>-'Assumptions'!$E$38/12</f>
        <v>-100</v>
      </c>
      <c r="I23" s="11">
        <f>-'Assumptions'!$E$38/12</f>
        <v>-100</v>
      </c>
      <c r="J23" s="11">
        <f>-'Assumptions'!$E$38/12</f>
        <v>-100</v>
      </c>
      <c r="K23" s="11">
        <f>-'Assumptions'!$E$38/12</f>
        <v>-100</v>
      </c>
      <c r="L23" s="11">
        <f>-'Assumptions'!$E$38/12</f>
        <v>-100</v>
      </c>
      <c r="M23" s="11">
        <f>-'Assumptions'!$E$38/12</f>
        <v>-100</v>
      </c>
      <c r="N23" s="11">
        <f>-'Assumptions'!$E$38/12</f>
        <v>-100</v>
      </c>
      <c r="O23" s="10">
        <f>SUM(C23:N23)</f>
        <v>-1200</v>
      </c>
    </row>
    <row r="24" spans="1:15">
      <c r="A24" s="24" t="s">
        <v>184</v>
      </c>
      <c r="C24" s="27">
        <f>SUM(C19:C23)</f>
        <v>13422.7785729864</v>
      </c>
      <c r="D24" s="27">
        <f>SUM(D19:D23)</f>
        <v>13938.5335246566</v>
      </c>
      <c r="E24" s="27">
        <f>SUM(E19:E23)</f>
        <v>14233.2505866116</v>
      </c>
      <c r="F24" s="27">
        <f>SUM(F19:F23)</f>
        <v>14463.650116105</v>
      </c>
      <c r="G24" s="27">
        <f>SUM(G19:G23)</f>
        <v>14853.942675202</v>
      </c>
      <c r="H24" s="27">
        <f>SUM(H19:H23)</f>
        <v>15326.9510474457</v>
      </c>
      <c r="I24" s="27">
        <f>SUM(I19:I23)</f>
        <v>15470.3425022461</v>
      </c>
      <c r="J24" s="27">
        <f>SUM(J19:J23)</f>
        <v>15669.2728238144</v>
      </c>
      <c r="K24" s="27">
        <f>SUM(K19:K23)</f>
        <v>15886.3258039295</v>
      </c>
      <c r="L24" s="27">
        <f>SUM(L19:L23)</f>
        <v>16222.6668383539</v>
      </c>
      <c r="M24" s="27">
        <f>SUM(M19:M23)</f>
        <v>17416.7842036698</v>
      </c>
      <c r="N24" s="27">
        <f>SUM(N19:N23)</f>
        <v>18881.5554672581</v>
      </c>
      <c r="O24" s="27">
        <f>N24</f>
        <v>18881.5554672581</v>
      </c>
    </row>
    <row r="25" spans="1:15">
      <c r="A25" s="22"/>
      <c r="C25" s="10"/>
      <c r="D25" s="10"/>
      <c r="E25" s="10"/>
      <c r="F25" s="10"/>
      <c r="G25" s="10"/>
      <c r="H25" s="10"/>
      <c r="I25" s="10"/>
      <c r="J25" s="10"/>
      <c r="K25" s="10"/>
      <c r="L25" s="10"/>
      <c r="M25" s="10"/>
      <c r="N25" s="10"/>
      <c r="O25" s="10"/>
    </row>
    <row r="26" spans="1:15">
      <c r="A26" s="20" t="s">
        <v>185</v>
      </c>
      <c r="C26" s="10"/>
      <c r="D26" s="10"/>
      <c r="E26" s="10"/>
      <c r="F26" s="10"/>
      <c r="G26" s="10"/>
      <c r="H26" s="10"/>
      <c r="I26" s="10"/>
      <c r="J26" s="10"/>
      <c r="K26" s="10"/>
      <c r="L26" s="10"/>
      <c r="M26" s="10"/>
      <c r="N26" s="10"/>
      <c r="O26" s="10"/>
    </row>
    <row r="27" spans="1:15">
      <c r="A27" s="22" t="s">
        <v>186</v>
      </c>
      <c r="C27" s="10">
        <f>C8+C10+C11</f>
        <v>13942.2994592717</v>
      </c>
      <c r="D27" s="10">
        <f>D8+D10+D11</f>
        <v>17709.2080483298</v>
      </c>
      <c r="E27" s="10">
        <f>E8+E10+E11</f>
        <v>15513.138938045</v>
      </c>
      <c r="F27" s="10">
        <f>F8+F10+F11</f>
        <v>14874.1274705066</v>
      </c>
      <c r="G27" s="10">
        <f>G8+G10+G11</f>
        <v>16462.7064409029</v>
      </c>
      <c r="H27" s="10">
        <f>H8+H10+H11</f>
        <v>17284.5096277563</v>
      </c>
      <c r="I27" s="10">
        <f>I8+I10+I11</f>
        <v>14009.6795451996</v>
      </c>
      <c r="J27" s="10">
        <f>J8+J10+J11</f>
        <v>14561.4726784318</v>
      </c>
      <c r="K27" s="10">
        <f>K8+K10+K11</f>
        <v>14741.5260198849</v>
      </c>
      <c r="L27" s="10">
        <f>L8+L10+L11</f>
        <v>15926.6839655756</v>
      </c>
      <c r="M27" s="10">
        <f>M8+M10+M11</f>
        <v>24448.9156346841</v>
      </c>
      <c r="N27" s="10">
        <f>N8+N10+N11</f>
        <v>27137.9327364117</v>
      </c>
      <c r="O27" s="10">
        <f>SUM(C27:N27)</f>
        <v>206612.200565</v>
      </c>
    </row>
    <row r="28" spans="1:15">
      <c r="A28" s="22" t="s">
        <v>187</v>
      </c>
      <c r="C28" s="11">
        <f>'Assumptions'!$B$25</f>
        <v>20000</v>
      </c>
      <c r="D28" s="11">
        <f>'Assumptions'!$B$25</f>
        <v>20000</v>
      </c>
      <c r="E28" s="11">
        <f>'Assumptions'!$B$25</f>
        <v>20000</v>
      </c>
      <c r="F28" s="11">
        <f>'Assumptions'!$B$25</f>
        <v>20000</v>
      </c>
      <c r="G28" s="11">
        <f>'Assumptions'!$B$25</f>
        <v>20000</v>
      </c>
      <c r="H28" s="11">
        <f>'Assumptions'!$B$25</f>
        <v>20000</v>
      </c>
      <c r="I28" s="11">
        <f>'Assumptions'!$B$25</f>
        <v>20000</v>
      </c>
      <c r="J28" s="11">
        <f>'Assumptions'!$B$25</f>
        <v>20000</v>
      </c>
      <c r="K28" s="11">
        <f>'Assumptions'!$B$25</f>
        <v>20000</v>
      </c>
      <c r="L28" s="11">
        <f>'Assumptions'!$B$25</f>
        <v>20000</v>
      </c>
      <c r="M28" s="11">
        <f>'Assumptions'!$B$25</f>
        <v>20000</v>
      </c>
      <c r="N28" s="11">
        <f>'Assumptions'!$B$25</f>
        <v>20000</v>
      </c>
      <c r="O28" s="10">
        <f>SUM(C28:N28)</f>
        <v>240000</v>
      </c>
    </row>
    <row r="29" spans="1:15">
      <c r="A29" s="24" t="s">
        <v>188</v>
      </c>
      <c r="C29" s="27">
        <f>C28-C27</f>
        <v>6057.70054072834</v>
      </c>
      <c r="D29" s="27">
        <f>D28-D27</f>
        <v>2290.7919516702</v>
      </c>
      <c r="E29" s="27">
        <f>E28-E27</f>
        <v>4486.86106195495</v>
      </c>
      <c r="F29" s="27">
        <f>F28-F27</f>
        <v>5125.87252949341</v>
      </c>
      <c r="G29" s="27">
        <f>G28-G27</f>
        <v>3537.29355909706</v>
      </c>
      <c r="H29" s="27">
        <f>H28-H27</f>
        <v>2715.49037224365</v>
      </c>
      <c r="I29" s="27">
        <f>I28-I27</f>
        <v>5990.32045480043</v>
      </c>
      <c r="J29" s="27">
        <f>J28-J27</f>
        <v>5438.52732156825</v>
      </c>
      <c r="K29" s="27">
        <f>K28-K27</f>
        <v>5258.4739801151</v>
      </c>
      <c r="L29" s="27">
        <f>L28-L27</f>
        <v>4073.31603442444</v>
      </c>
      <c r="M29" s="27">
        <f>M28-M27</f>
        <v>-4448.9156346841</v>
      </c>
      <c r="N29" s="27">
        <f>N28-N27</f>
        <v>-7137.93273641174</v>
      </c>
      <c r="O29" s="27">
        <f>SUM(C29:N29)</f>
        <v>33387.799435</v>
      </c>
    </row>
    <row r="30" spans="1:15">
      <c r="A30" s="37" t="s">
        <v>189</v>
      </c>
      <c r="C30" s="39">
        <f>IFERROR(C27/$O$27,0)</f>
        <v>0.0674805235177069</v>
      </c>
      <c r="D30" s="39">
        <f>IFERROR(D27/$O$27,0)</f>
        <v>0.0857123054684203</v>
      </c>
      <c r="E30" s="39">
        <f>IFERROR(E27/$O$27,0)</f>
        <v>0.0750833634007234</v>
      </c>
      <c r="F30" s="39">
        <f>IFERROR(F27/$O$27,0)</f>
        <v>0.0719905573331678</v>
      </c>
      <c r="G30" s="39">
        <f>IFERROR(G27/$O$27,0)</f>
        <v>0.0796792560937068</v>
      </c>
      <c r="H30" s="39">
        <f>IFERROR(H27/$O$27,0)</f>
        <v>0.0836567713837337</v>
      </c>
      <c r="I30" s="39">
        <f>IFERROR(I27/$O$27,0)</f>
        <v>0.0678066421386966</v>
      </c>
      <c r="J30" s="39">
        <f>IFERROR(J27/$O$27,0)</f>
        <v>0.0704773127560331</v>
      </c>
      <c r="K30" s="39">
        <f>IFERROR(K27/$O$27,0)</f>
        <v>0.0713487682700869</v>
      </c>
      <c r="L30" s="39">
        <f>IFERROR(L27/$O$27,0)</f>
        <v>0.0770849152277677</v>
      </c>
      <c r="M30" s="39">
        <f>IFERROR(M27/$O$27,0)</f>
        <v>0.118332390671152</v>
      </c>
      <c r="N30" s="39">
        <f>IFERROR(N27/$O$27,0)</f>
        <v>0.131347193738804</v>
      </c>
      <c r="O30" s="39">
        <f>SUM(C30:N30)</f>
        <v>1</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9.xml><?xml version="1.0" encoding="utf-8"?>
<worksheet xmlns="http://schemas.openxmlformats.org/spreadsheetml/2006/main" xmlns:r="http://schemas.openxmlformats.org/officeDocument/2006/relationships">
  <sheetPr>
    <tabColor rgb="FF2E75B6"/>
    <pageSetUpPr fitToPage="1"/>
  </sheetPr>
  <dimension ref="A1:AC3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7109375" hidden="1" customWidth="1"/>
    <col min="3" max="14" width="10.28515625" customWidth="1"/>
    <col min="15" max="15" width="11.7109375" customWidth="1"/>
  </cols>
  <sheetData>
    <row r="1" spans="1:15">
      <c r="A1" s="15" t="s">
        <v>19</v>
      </c>
    </row>
    <row r="2" spans="1:15">
      <c r="A2" s="17" t="s">
        <v>190</v>
      </c>
    </row>
    <row r="3" spans="1:15">
      <c r="A3" s="18" t="s">
        <v>140</v>
      </c>
    </row>
    <row r="4" spans="1:15">
      <c r="A4" s="6" t="s">
        <v>58</v>
      </c>
      <c r="C4" s="36">
        <v>45688</v>
      </c>
      <c r="D4" s="36">
        <v>45716</v>
      </c>
      <c r="E4" s="36">
        <v>45747</v>
      </c>
      <c r="F4" s="36">
        <v>45777</v>
      </c>
      <c r="G4" s="36">
        <v>45808</v>
      </c>
      <c r="H4" s="36">
        <v>45838</v>
      </c>
      <c r="I4" s="36">
        <v>45869</v>
      </c>
      <c r="J4" s="36">
        <v>45900</v>
      </c>
      <c r="K4" s="36">
        <v>45930</v>
      </c>
      <c r="L4" s="36">
        <v>45961</v>
      </c>
      <c r="M4" s="36">
        <v>45991</v>
      </c>
      <c r="N4" s="36">
        <v>46022</v>
      </c>
      <c r="O4" s="31" t="s">
        <v>165</v>
      </c>
    </row>
    <row r="5" spans="1:15">
      <c r="A5" s="20" t="s">
        <v>191</v>
      </c>
      <c r="C5" s="10"/>
      <c r="D5" s="10"/>
      <c r="E5" s="10"/>
      <c r="F5" s="10"/>
      <c r="G5" s="10"/>
      <c r="H5" s="10"/>
      <c r="I5" s="10"/>
      <c r="J5" s="10"/>
      <c r="K5" s="10"/>
      <c r="L5" s="10"/>
      <c r="M5" s="10"/>
      <c r="N5" s="10"/>
      <c r="O5" s="10"/>
    </row>
    <row r="6" spans="1:15">
      <c r="A6" s="22" t="s">
        <v>192</v>
      </c>
      <c r="C6" s="11">
        <f>'Data'!C39</f>
        <v>182</v>
      </c>
      <c r="D6" s="11">
        <f>'Data'!D39</f>
        <v>232</v>
      </c>
      <c r="E6" s="11">
        <f>'Data'!E39</f>
        <v>188</v>
      </c>
      <c r="F6" s="11">
        <f>'Data'!F39</f>
        <v>191</v>
      </c>
      <c r="G6" s="11">
        <f>'Data'!G39</f>
        <v>224</v>
      </c>
      <c r="H6" s="11">
        <f>'Data'!H39</f>
        <v>222</v>
      </c>
      <c r="I6" s="11">
        <f>'Data'!I39</f>
        <v>193</v>
      </c>
      <c r="J6" s="11">
        <f>'Data'!J39</f>
        <v>189</v>
      </c>
      <c r="K6" s="11">
        <f>'Data'!K39</f>
        <v>206</v>
      </c>
      <c r="L6" s="11">
        <f>'Data'!L39</f>
        <v>221</v>
      </c>
      <c r="M6" s="11">
        <f>'Data'!M39</f>
        <v>314</v>
      </c>
      <c r="N6" s="11">
        <f>'Data'!N39</f>
        <v>390</v>
      </c>
      <c r="O6" s="11">
        <f>'Data'!O39</f>
        <v>2752</v>
      </c>
    </row>
    <row r="7" spans="1:15">
      <c r="A7" s="22" t="s">
        <v>193</v>
      </c>
      <c r="C7" s="11">
        <f>'Data'!C42</f>
        <v>288</v>
      </c>
      <c r="D7" s="11">
        <f>'Data'!D42</f>
        <v>359</v>
      </c>
      <c r="E7" s="11">
        <f>'Data'!E42</f>
        <v>299</v>
      </c>
      <c r="F7" s="11">
        <f>'Data'!F42</f>
        <v>300</v>
      </c>
      <c r="G7" s="11">
        <f>'Data'!G42</f>
        <v>347</v>
      </c>
      <c r="H7" s="11">
        <f>'Data'!H42</f>
        <v>350</v>
      </c>
      <c r="I7" s="11">
        <f>'Data'!I42</f>
        <v>311</v>
      </c>
      <c r="J7" s="11">
        <f>'Data'!J42</f>
        <v>297</v>
      </c>
      <c r="K7" s="11">
        <f>'Data'!K42</f>
        <v>336</v>
      </c>
      <c r="L7" s="11">
        <f>'Data'!L42</f>
        <v>367</v>
      </c>
      <c r="M7" s="11">
        <f>'Data'!M42</f>
        <v>507</v>
      </c>
      <c r="N7" s="11">
        <f>'Data'!N42</f>
        <v>638</v>
      </c>
      <c r="O7" s="11">
        <f>'Data'!O42</f>
        <v>4399</v>
      </c>
    </row>
    <row r="8" spans="1:15">
      <c r="A8" s="22" t="s">
        <v>194</v>
      </c>
      <c r="C8" s="40">
        <f>IFERROR(('Data'!C6+'Data'!C7)/'Data'!C39,0)</f>
        <v>72.7567582417582</v>
      </c>
      <c r="D8" s="40">
        <f>IFERROR(('Data'!D6+'Data'!D7)/'Data'!D39,0)</f>
        <v>75.755</v>
      </c>
      <c r="E8" s="40">
        <f>IFERROR(('Data'!E6+'Data'!E7)/'Data'!E39,0)</f>
        <v>80.0772872340425</v>
      </c>
      <c r="F8" s="40">
        <f>IFERROR(('Data'!F6+'Data'!F7)/'Data'!F39,0)</f>
        <v>75.7726178010471</v>
      </c>
      <c r="G8" s="40">
        <f>IFERROR(('Data'!G6+'Data'!G7)/'Data'!G39,0)</f>
        <v>70.7427678571429</v>
      </c>
      <c r="H8" s="40">
        <f>IFERROR(('Data'!H6+'Data'!H7)/'Data'!H39,0)</f>
        <v>74.3172522522523</v>
      </c>
      <c r="I8" s="40">
        <f>IFERROR(('Data'!I6+'Data'!I7)/'Data'!I39,0)</f>
        <v>71.349481865285</v>
      </c>
      <c r="J8" s="40">
        <f>IFERROR(('Data'!J6+'Data'!J7)/'Data'!J39,0)</f>
        <v>74.9051851851852</v>
      </c>
      <c r="K8" s="40">
        <f>IFERROR(('Data'!K6+'Data'!K7)/'Data'!K39,0)</f>
        <v>67.0405339805825</v>
      </c>
      <c r="L8" s="40">
        <f>IFERROR(('Data'!L6+'Data'!L7)/'Data'!L39,0)</f>
        <v>70.1569683257919</v>
      </c>
      <c r="M8" s="40">
        <f>IFERROR(('Data'!M6+'Data'!M7)/'Data'!M39,0)</f>
        <v>75.6850636942675</v>
      </c>
      <c r="N8" s="40">
        <f>IFERROR(('Data'!N6+'Data'!N7)/'Data'!N39,0)</f>
        <v>69.8952307692308</v>
      </c>
      <c r="O8" s="40">
        <f>IFERROR(('Data'!O6+'Data'!O7)/'Data'!O39,0)</f>
        <v>73.021664244186</v>
      </c>
    </row>
    <row r="9" spans="1:15">
      <c r="A9" s="22"/>
      <c r="C9" s="10"/>
      <c r="D9" s="10"/>
      <c r="E9" s="10"/>
      <c r="F9" s="10"/>
      <c r="G9" s="10"/>
      <c r="H9" s="10"/>
      <c r="I9" s="10"/>
      <c r="J9" s="10"/>
      <c r="K9" s="10"/>
      <c r="L9" s="10"/>
      <c r="M9" s="10"/>
      <c r="N9" s="10"/>
      <c r="O9" s="10"/>
    </row>
    <row r="10" spans="1:15">
      <c r="A10" s="20" t="s">
        <v>195</v>
      </c>
      <c r="C10" s="10"/>
      <c r="D10" s="10"/>
      <c r="E10" s="10"/>
      <c r="F10" s="10"/>
      <c r="G10" s="10"/>
      <c r="H10" s="10"/>
      <c r="I10" s="10"/>
      <c r="J10" s="10"/>
      <c r="K10" s="10"/>
      <c r="L10" s="10"/>
      <c r="M10" s="10"/>
      <c r="N10" s="10"/>
      <c r="O10" s="10"/>
    </row>
    <row r="11" spans="1:15">
      <c r="A11" s="22" t="s">
        <v>196</v>
      </c>
      <c r="C11" s="41">
        <f>'Monthly P&amp;L'!C19</f>
        <v>0.300476089413455</v>
      </c>
      <c r="D11" s="41">
        <f>'Monthly P&amp;L'!D19</f>
        <v>0.300277861975471</v>
      </c>
      <c r="E11" s="41">
        <f>'Monthly P&amp;L'!E19</f>
        <v>0.289902007774067</v>
      </c>
      <c r="F11" s="41">
        <f>'Monthly P&amp;L'!F19</f>
        <v>0.305914195402338</v>
      </c>
      <c r="G11" s="41">
        <f>'Monthly P&amp;L'!G19</f>
        <v>0.308508100518679</v>
      </c>
      <c r="H11" s="41">
        <f>'Monthly P&amp;L'!H19</f>
        <v>0.30333793594625</v>
      </c>
      <c r="I11" s="41">
        <f>'Monthly P&amp;L'!I19</f>
        <v>0.314880000233839</v>
      </c>
      <c r="J11" s="41">
        <f>'Monthly P&amp;L'!J19</f>
        <v>0.297387813072243</v>
      </c>
      <c r="K11" s="41">
        <f>'Monthly P&amp;L'!K19</f>
        <v>0.327112158031309</v>
      </c>
      <c r="L11" s="41">
        <f>'Monthly P&amp;L'!L19</f>
        <v>0.320296101648748</v>
      </c>
      <c r="M11" s="41">
        <f>'Monthly P&amp;L'!M19</f>
        <v>0.298384626956535</v>
      </c>
      <c r="N11" s="41">
        <f>'Monthly P&amp;L'!N19</f>
        <v>0.319863358965334</v>
      </c>
      <c r="O11" s="41">
        <f>'Monthly P&amp;L'!O19</f>
        <v>0.307426814137942</v>
      </c>
    </row>
    <row r="12" spans="1:15">
      <c r="A12" s="22" t="s">
        <v>197</v>
      </c>
      <c r="C12" s="41">
        <f>'Monthly P&amp;L'!C35</f>
        <v>0.0629344233281611</v>
      </c>
      <c r="D12" s="41">
        <f>'Monthly P&amp;L'!D35</f>
        <v>0.0696783047371123</v>
      </c>
      <c r="E12" s="41">
        <f>'Monthly P&amp;L'!E35</f>
        <v>0.00556917655981708</v>
      </c>
      <c r="F12" s="41">
        <f>'Monthly P&amp;L'!F35</f>
        <v>0.0168870970069906</v>
      </c>
      <c r="G12" s="41">
        <f>'Monthly P&amp;L'!G35</f>
        <v>0.0773965570549517</v>
      </c>
      <c r="H12" s="41">
        <f>'Monthly P&amp;L'!H35</f>
        <v>0.087125575867058</v>
      </c>
      <c r="I12" s="41">
        <f>'Monthly P&amp;L'!I35</f>
        <v>0.0707488192940829</v>
      </c>
      <c r="J12" s="41">
        <f>'Monthly P&amp;L'!J35</f>
        <v>0.0593970666016705</v>
      </c>
      <c r="K12" s="41">
        <f>'Monthly P&amp;L'!K35</f>
        <v>0.100235210229113</v>
      </c>
      <c r="L12" s="41">
        <f>'Monthly P&amp;L'!L35</f>
        <v>0.0923664097675089</v>
      </c>
      <c r="M12" s="41">
        <f>'Monthly P&amp;L'!M35</f>
        <v>0.0680231230545507</v>
      </c>
      <c r="N12" s="41">
        <f>'Monthly P&amp;L'!N35</f>
        <v>0.0651680944228026</v>
      </c>
      <c r="O12" s="41">
        <f>'Monthly P&amp;L'!O35</f>
        <v>0.0651833876844737</v>
      </c>
    </row>
    <row r="13" spans="1:15">
      <c r="A13" s="22" t="s">
        <v>198</v>
      </c>
      <c r="C13" s="41">
        <f>IFERROR(('Data'!C9+'Data'!C10)/('Data'!C6+'Data'!C7),0)</f>
        <v>0.146875823627275</v>
      </c>
      <c r="D13" s="41">
        <f>IFERROR(('Data'!D9+'Data'!D10)/('Data'!D6+'Data'!D7),0)</f>
        <v>0.134819256268506</v>
      </c>
      <c r="E13" s="41">
        <f>IFERROR(('Data'!E9+'Data'!E10)/('Data'!E6+'Data'!E7),0)</f>
        <v>0.132109737069175</v>
      </c>
      <c r="F13" s="41">
        <f>IFERROR(('Data'!F9+'Data'!F10)/('Data'!F6+'Data'!F7),0)</f>
        <v>0.146056298224849</v>
      </c>
      <c r="G13" s="41">
        <f>IFERROR(('Data'!G9+'Data'!G10)/('Data'!G6+'Data'!G7),0)</f>
        <v>0.151546914815876</v>
      </c>
      <c r="H13" s="41">
        <f>IFERROR(('Data'!H9+'Data'!H10)/('Data'!H6+'Data'!H7),0)</f>
        <v>0.14700974577581</v>
      </c>
      <c r="I13" s="41">
        <f>IFERROR(('Data'!I9+'Data'!I10)/('Data'!I6+'Data'!I7),0)</f>
        <v>0.15342490623037</v>
      </c>
      <c r="J13" s="41">
        <f>IFERROR(('Data'!J9+'Data'!J10)/('Data'!J6+'Data'!J7),0)</f>
        <v>0.135472145385913</v>
      </c>
      <c r="K13" s="41">
        <f>IFERROR(('Data'!K9+'Data'!K10)/('Data'!K6+'Data'!K7),0)</f>
        <v>0.170273743967387</v>
      </c>
      <c r="L13" s="41">
        <f>IFERROR(('Data'!L9+'Data'!L10)/('Data'!L6+'Data'!L7),0)</f>
        <v>0.166291618858552</v>
      </c>
      <c r="M13" s="41">
        <f>IFERROR(('Data'!M9+'Data'!M10)/('Data'!M6+'Data'!M7),0)</f>
        <v>0.142489557170154</v>
      </c>
      <c r="N13" s="41">
        <f>IFERROR(('Data'!N9+'Data'!N10)/('Data'!N6+'Data'!N7),0)</f>
        <v>0.161720068938345</v>
      </c>
      <c r="O13" s="41">
        <f>IFERROR(('Data'!O9+'Data'!O10)/('Data'!O6+'Data'!O7),0)</f>
        <v>0.1492817667901</v>
      </c>
    </row>
    <row r="14" spans="1:15">
      <c r="A14" s="22" t="s">
        <v>199</v>
      </c>
      <c r="C14" s="41">
        <f>IFERROR((('Data'!C9+'Data'!C10)-'Data'!C17)/(('Data'!C6+'Data'!C7)-'Data'!C16-'Data'!C17),0)</f>
        <v>0.409113659725848</v>
      </c>
      <c r="D14" s="41">
        <f>IFERROR((('Data'!D9+'Data'!D10)-'Data'!D17)/(('Data'!D6+'Data'!D7)-'Data'!D16-'Data'!D17),0)</f>
        <v>0.343996554248405</v>
      </c>
      <c r="E14" s="41">
        <f>IFERROR((('Data'!E9+'Data'!E10)-'Data'!E17)/(('Data'!E6+'Data'!E7)-'Data'!E16-'Data'!E17),0)</f>
        <v>0.365482281066697</v>
      </c>
      <c r="F14" s="41">
        <f>IFERROR((('Data'!F9+'Data'!F10)-'Data'!F17)/(('Data'!F6+'Data'!F7)-'Data'!F16-'Data'!F17),0)</f>
        <v>0.38024472326883</v>
      </c>
      <c r="G14" s="41">
        <f>IFERROR((('Data'!G9+'Data'!G10)-'Data'!G17)/(('Data'!G6+'Data'!G7)-'Data'!G16-'Data'!G17),0)</f>
        <v>0.40253673983693</v>
      </c>
      <c r="H14" s="41">
        <f>IFERROR((('Data'!H9+'Data'!H10)-'Data'!H17)/(('Data'!H6+'Data'!H7)-'Data'!H16-'Data'!H17),0)</f>
        <v>0.409450500632198</v>
      </c>
      <c r="I14" s="41">
        <f>IFERROR((('Data'!I9+'Data'!I10)-'Data'!I17)/(('Data'!I6+'Data'!I7)-'Data'!I16-'Data'!I17),0)</f>
        <v>0.379109639691912</v>
      </c>
      <c r="J14" s="41">
        <f>IFERROR((('Data'!J9+'Data'!J10)-'Data'!J17)/(('Data'!J6+'Data'!J7)-'Data'!J16-'Data'!J17),0)</f>
        <v>0.362283290565166</v>
      </c>
      <c r="K14" s="41">
        <f>IFERROR((('Data'!K9+'Data'!K10)-'Data'!K17)/(('Data'!K6+'Data'!K7)-'Data'!K16-'Data'!K17),0)</f>
        <v>0.450574293084149</v>
      </c>
      <c r="L14" s="41">
        <f>IFERROR((('Data'!L9+'Data'!L10)-'Data'!L17)/(('Data'!L6+'Data'!L7)-'Data'!L16-'Data'!L17),0)</f>
        <v>0.415363796678804</v>
      </c>
      <c r="M14" s="41">
        <f>IFERROR((('Data'!M9+'Data'!M10)-'Data'!M17)/(('Data'!M6+'Data'!M7)-'Data'!M16-'Data'!M17),0)</f>
        <v>0.38876916391982</v>
      </c>
      <c r="N14" s="41">
        <f>IFERROR((('Data'!N9+'Data'!N10)-'Data'!N17)/(('Data'!N6+'Data'!N7)-'Data'!N16-'Data'!N17),0)</f>
        <v>0.385214650721269</v>
      </c>
      <c r="O14" s="41">
        <f>IFERROR((('Data'!O9+'Data'!O10)-'Data'!O17)/(('Data'!O6+'Data'!O7)-'Data'!O16-'Data'!O17),0)</f>
        <v>0.389723946721385</v>
      </c>
    </row>
    <row r="15" spans="1:15">
      <c r="A15" s="22"/>
      <c r="C15" s="10"/>
      <c r="D15" s="10"/>
      <c r="E15" s="10"/>
      <c r="F15" s="10"/>
      <c r="G15" s="10"/>
      <c r="H15" s="10"/>
      <c r="I15" s="10"/>
      <c r="J15" s="10"/>
      <c r="K15" s="10"/>
      <c r="L15" s="10"/>
      <c r="M15" s="10"/>
      <c r="N15" s="10"/>
      <c r="O15" s="10"/>
    </row>
    <row r="16" spans="1:15">
      <c r="A16" s="20" t="s">
        <v>200</v>
      </c>
      <c r="C16" s="10"/>
      <c r="D16" s="10"/>
      <c r="E16" s="10"/>
      <c r="F16" s="10"/>
      <c r="G16" s="10"/>
      <c r="H16" s="10"/>
      <c r="I16" s="10"/>
      <c r="J16" s="10"/>
      <c r="K16" s="10"/>
      <c r="L16" s="10"/>
      <c r="M16" s="10"/>
      <c r="N16" s="10"/>
      <c r="O16" s="10"/>
    </row>
    <row r="17" spans="1:29">
      <c r="A17" s="22" t="s">
        <v>201</v>
      </c>
      <c r="C17" s="41">
        <f>IFERROR('Data'!C13/('Data'!C6+'Data'!C7),0)</f>
        <v>0.00810317080925227</v>
      </c>
      <c r="D17" s="41">
        <f>IFERROR('Data'!D13/('Data'!D6+'Data'!D7),0)</f>
        <v>0.0441469665141029</v>
      </c>
      <c r="E17" s="41">
        <f>IFERROR('Data'!E13/('Data'!E6+'Data'!E7),0)</f>
        <v>0.0227014725800141</v>
      </c>
      <c r="F17" s="41">
        <f>IFERROR('Data'!F13/('Data'!F6+'Data'!F7),0)</f>
        <v>0.0308708128549387</v>
      </c>
      <c r="G17" s="41">
        <f>IFERROR('Data'!G13/('Data'!G6+'Data'!G7),0)</f>
        <v>0.0166751018213624</v>
      </c>
      <c r="H17" s="41">
        <f>IFERROR('Data'!H13/('Data'!H6+'Data'!H7),0)</f>
        <v>0.00790257012333901</v>
      </c>
      <c r="I17" s="41">
        <f>IFERROR('Data'!I13/('Data'!I6+'Data'!I7),0)</f>
        <v>0.0421387826832093</v>
      </c>
      <c r="J17" s="41">
        <f>IFERROR('Data'!J13/('Data'!J6+'Data'!J7),0)</f>
        <v>0.026761168263512</v>
      </c>
      <c r="K17" s="41">
        <f>IFERROR('Data'!K13/('Data'!K6+'Data'!K7),0)</f>
        <v>0.0012295126481226</v>
      </c>
      <c r="L17" s="41">
        <f>IFERROR('Data'!L13/('Data'!L6+'Data'!L7),0)</f>
        <v>0.0295097805889702</v>
      </c>
      <c r="M17" s="41">
        <f>IFERROR('Data'!M13/('Data'!M6+'Data'!M7),0)</f>
        <v>0.0150561053578124</v>
      </c>
      <c r="N17" s="41">
        <f>IFERROR('Data'!N13/('Data'!N6+'Data'!N7),0)</f>
        <v>0.0512275882511334</v>
      </c>
      <c r="O17" s="41">
        <f>IFERROR('Data'!O13/('Data'!O6+'Data'!O7),0)</f>
        <v>0.0261462207426695</v>
      </c>
    </row>
    <row r="18" spans="1:29">
      <c r="A18" s="22" t="s">
        <v>202</v>
      </c>
      <c r="C18" s="41">
        <f>IFERROR('Data'!C20/'Data'!C6,0)</f>
        <v>0.136057015336597</v>
      </c>
      <c r="D18" s="41">
        <f>IFERROR('Data'!D20/'Data'!D6,0)</f>
        <v>0.136144685763792</v>
      </c>
      <c r="E18" s="41">
        <f>IFERROR('Data'!E20/'Data'!E6,0)</f>
        <v>0.135646533887255</v>
      </c>
      <c r="F18" s="41">
        <f>IFERROR('Data'!F20/'Data'!F6,0)</f>
        <v>0.13566107557846</v>
      </c>
      <c r="G18" s="41">
        <f>IFERROR('Data'!G20/'Data'!G6,0)</f>
        <v>0.13636314340807</v>
      </c>
      <c r="H18" s="41">
        <f>IFERROR('Data'!H20/'Data'!H6,0)</f>
        <v>0.135759355098786</v>
      </c>
      <c r="I18" s="41">
        <f>IFERROR('Data'!I20/'Data'!I6,0)</f>
        <v>0.136007005681572</v>
      </c>
      <c r="J18" s="41">
        <f>IFERROR('Data'!J20/'Data'!J6,0)</f>
        <v>0.136248990151573</v>
      </c>
      <c r="K18" s="41">
        <f>IFERROR('Data'!K20/'Data'!K6,0)</f>
        <v>0.136072287144246</v>
      </c>
      <c r="L18" s="41">
        <f>IFERROR('Data'!L20/'Data'!L6,0)</f>
        <v>0.136252532080647</v>
      </c>
      <c r="M18" s="41">
        <f>IFERROR('Data'!M20/'Data'!M6,0)</f>
        <v>0.136187942063897</v>
      </c>
      <c r="N18" s="41">
        <f>IFERROR('Data'!N20/'Data'!N6,0)</f>
        <v>0.13631894749108</v>
      </c>
      <c r="O18" s="41">
        <f>IFERROR('Data'!O20/'Data'!O6,0)</f>
        <v>0.136084680177693</v>
      </c>
    </row>
    <row r="19" spans="1:29">
      <c r="A19" s="22" t="s">
        <v>203</v>
      </c>
      <c r="C19" s="41">
        <f>IFERROR('Monthly P&amp;L'!C25/'Monthly P&amp;L'!C11,0)</f>
        <v>0.0333783989207759</v>
      </c>
      <c r="D19" s="41">
        <f>IFERROR('Monthly P&amp;L'!D25/'Monthly P&amp;L'!D11,0)</f>
        <v>0.0292649455060384</v>
      </c>
      <c r="E19" s="41">
        <f>IFERROR('Monthly P&amp;L'!E25/'Monthly P&amp;L'!E11,0)</f>
        <v>0.0338054745025334</v>
      </c>
      <c r="F19" s="41">
        <f>IFERROR('Monthly P&amp;L'!F25/'Monthly P&amp;L'!F11,0)</f>
        <v>0.031992698065991</v>
      </c>
      <c r="G19" s="41">
        <f>IFERROR('Monthly P&amp;L'!G25/'Monthly P&amp;L'!G11,0)</f>
        <v>0.0268528151215465</v>
      </c>
      <c r="H19" s="41">
        <f>IFERROR('Monthly P&amp;L'!H25/'Monthly P&amp;L'!H11,0)</f>
        <v>0.0242940138125553</v>
      </c>
      <c r="I19" s="41">
        <f>IFERROR('Monthly P&amp;L'!I25/'Monthly P&amp;L'!I11,0)</f>
        <v>0.0303092305882301</v>
      </c>
      <c r="J19" s="41">
        <f>IFERROR('Monthly P&amp;L'!J25/'Monthly P&amp;L'!J11,0)</f>
        <v>0.0334627403905251</v>
      </c>
      <c r="K19" s="41">
        <f>IFERROR('Monthly P&amp;L'!K25/'Monthly P&amp;L'!K11,0)</f>
        <v>0.0336189011638432</v>
      </c>
      <c r="L19" s="41">
        <f>IFERROR('Monthly P&amp;L'!L25/'Monthly P&amp;L'!L11,0)</f>
        <v>0.0252461905753793</v>
      </c>
      <c r="M19" s="41">
        <f>IFERROR('Monthly P&amp;L'!M25/'Monthly P&amp;L'!M11,0)</f>
        <v>0.0407061242775082</v>
      </c>
      <c r="N19" s="41">
        <f>IFERROR('Monthly P&amp;L'!N25/'Monthly P&amp;L'!N11,0)</f>
        <v>0.0452763245023236</v>
      </c>
      <c r="O19" s="41">
        <f>IFERROR('Monthly P&amp;L'!O25/'Monthly P&amp;L'!O11,0)</f>
        <v>0.0333148575792625</v>
      </c>
    </row>
    <row r="20" spans="1:29">
      <c r="A20" s="22" t="s">
        <v>204</v>
      </c>
      <c r="C20" s="11">
        <f>IFERROR('Monthly BS'!C8/'Data'!C17*DAY(C$4),0)</f>
        <v>20.1129431162407</v>
      </c>
      <c r="D20" s="11">
        <f>IFERROR('Monthly BS'!D8/'Data'!D17*DAY(D$4),0)</f>
        <v>119.291781360598</v>
      </c>
      <c r="E20" s="11">
        <f>IFERROR('Monthly BS'!E8/'Data'!E17*DAY(E$4),0)</f>
        <v>125.70675376181</v>
      </c>
      <c r="F20" s="11">
        <f>IFERROR('Monthly BS'!F8/'Data'!F17*DAY(F$4),0)</f>
        <v>85.7128592033729</v>
      </c>
      <c r="G20" s="11">
        <f>IFERROR('Monthly BS'!G8/'Data'!G17*DAY(G$4),0)</f>
        <v>46.4954858751577</v>
      </c>
      <c r="H20" s="11">
        <f>IFERROR('Monthly BS'!H8/'Data'!H17*DAY(H$4),0)</f>
        <v>151.321923871348</v>
      </c>
      <c r="I20" s="11">
        <f>IFERROR('Monthly BS'!I8/'Data'!I17*DAY(I$4),0)</f>
        <v>146.986229287953</v>
      </c>
      <c r="J20" s="11">
        <f>IFERROR('Monthly BS'!J8/'Data'!J17*DAY(J$4),0)</f>
        <v>127.982925647857</v>
      </c>
      <c r="K20" s="11">
        <f>IFERROR('Monthly BS'!K8/'Data'!K17*DAY(K$4),0)</f>
        <v>72.2892289228923</v>
      </c>
      <c r="L20" s="11">
        <f>IFERROR('Monthly BS'!L8/'Data'!L17*DAY(L$4),0)</f>
        <v>220.349654855039</v>
      </c>
      <c r="M20" s="11">
        <f>IFERROR('Monthly BS'!M8/'Data'!M17*DAY(M$4),0)</f>
        <v>128.907407407407</v>
      </c>
      <c r="N20" s="11">
        <f>IFERROR('Monthly BS'!N8/'Data'!N17*DAY(N$4),0)</f>
        <v>72.8899646945544</v>
      </c>
      <c r="O20" s="11">
        <f>IFERROR('Monthly BS'!N8/'Data'!O17*365,0)</f>
        <v>125.296380178843</v>
      </c>
    </row>
    <row r="21" spans="1:29">
      <c r="A21" s="22"/>
      <c r="C21" s="10"/>
      <c r="D21" s="10"/>
      <c r="E21" s="10"/>
      <c r="F21" s="10"/>
      <c r="G21" s="10"/>
      <c r="H21" s="10"/>
      <c r="I21" s="10"/>
      <c r="J21" s="10"/>
      <c r="K21" s="10"/>
      <c r="L21" s="10"/>
      <c r="M21" s="10"/>
      <c r="N21" s="10"/>
      <c r="O21" s="10"/>
    </row>
    <row r="22" spans="1:29">
      <c r="A22" s="20" t="s">
        <v>205</v>
      </c>
      <c r="C22" s="10"/>
      <c r="D22" s="10"/>
      <c r="E22" s="10"/>
      <c r="F22" s="10"/>
      <c r="G22" s="10"/>
      <c r="H22" s="10"/>
      <c r="I22" s="10"/>
      <c r="J22" s="10"/>
      <c r="K22" s="10"/>
      <c r="L22" s="10"/>
      <c r="M22" s="10"/>
      <c r="N22" s="10"/>
      <c r="O22" s="10"/>
    </row>
    <row r="23" spans="1:29">
      <c r="A23" s="22" t="s">
        <v>206</v>
      </c>
      <c r="C23" s="11">
        <f>'Monthly BS'!C6</f>
        <v>4682.3970967742</v>
      </c>
      <c r="D23" s="11">
        <f>'Monthly BS'!D6</f>
        <v>7248.32035714286</v>
      </c>
      <c r="E23" s="11">
        <f>'Monthly BS'!E6</f>
        <v>6364.42225806452</v>
      </c>
      <c r="F23" s="11">
        <f>'Monthly BS'!F6</f>
        <v>5931.663</v>
      </c>
      <c r="G23" s="11">
        <f>'Monthly BS'!G6</f>
        <v>7390.64903225806</v>
      </c>
      <c r="H23" s="11">
        <f>'Monthly BS'!H6</f>
        <v>6928.552</v>
      </c>
      <c r="I23" s="11">
        <f>'Monthly BS'!I6</f>
        <v>6234.89677419355</v>
      </c>
      <c r="J23" s="11">
        <f>'Monthly BS'!J6</f>
        <v>7184.95451612903</v>
      </c>
      <c r="K23" s="11">
        <f>'Monthly BS'!K6</f>
        <v>8506.081</v>
      </c>
      <c r="L23" s="11">
        <f>'Monthly BS'!L6</f>
        <v>6636.83612903226</v>
      </c>
      <c r="M23" s="11">
        <f>'Monthly BS'!M6</f>
        <v>10936.747</v>
      </c>
      <c r="N23" s="11">
        <f>'Monthly BS'!N6</f>
        <v>13286.1690322581</v>
      </c>
      <c r="O23" s="11">
        <f>'Monthly BS'!N6</f>
        <v>13286.1690322581</v>
      </c>
    </row>
    <row r="24" spans="1:29">
      <c r="A24" s="22" t="s">
        <v>207</v>
      </c>
      <c r="C24" s="41">
        <f>IFERROR('Monthly P&amp;L'!C42/'Budget'!C17,0)</f>
        <v>0.63801</v>
      </c>
      <c r="D24" s="41">
        <f>IFERROR('Monthly P&amp;L'!D42/'Budget'!D17,0)</f>
        <v>0.8064565</v>
      </c>
      <c r="E24" s="41">
        <f>IFERROR('Monthly P&amp;L'!E42/'Budget'!E17,0)</f>
        <v>0.752931</v>
      </c>
      <c r="F24" s="41">
        <f>IFERROR('Monthly P&amp;L'!F42/'Budget'!F17,0)</f>
        <v>0.712906</v>
      </c>
      <c r="G24" s="41">
        <f>IFERROR('Monthly P&amp;L'!G42/'Budget'!G17,0)</f>
        <v>0.7422115</v>
      </c>
      <c r="H24" s="41">
        <f>IFERROR('Monthly P&amp;L'!H42/'Budget'!H17,0)</f>
        <v>0.771893</v>
      </c>
      <c r="I24" s="41">
        <f>IFERROR('Monthly P&amp;L'!I42/'Budget'!I17,0)</f>
        <v>0.6335345</v>
      </c>
      <c r="J24" s="41">
        <f>IFERROR('Monthly P&amp;L'!J42/'Budget'!J17,0)</f>
        <v>0.667268</v>
      </c>
      <c r="K24" s="41">
        <f>IFERROR('Monthly P&amp;L'!K42/'Budget'!K17,0)</f>
        <v>0.646303</v>
      </c>
      <c r="L24" s="41">
        <f>IFERROR('Monthly P&amp;L'!L42/'Budget'!L17,0)</f>
        <v>0.7057915</v>
      </c>
      <c r="M24" s="41">
        <f>IFERROR('Monthly P&amp;L'!M42/'Budget'!M17,0)</f>
        <v>1.122144</v>
      </c>
      <c r="N24" s="41">
        <f>IFERROR('Monthly P&amp;L'!N42/'Budget'!N17,0)</f>
        <v>1.251352</v>
      </c>
      <c r="O24" s="41">
        <f>IFERROR('Monthly P&amp;L'!O42/'Budget'!O17,0)</f>
        <v>0.78756675</v>
      </c>
    </row>
    <row r="26" spans="1:29">
      <c r="Q26" s="20" t="s">
        <v>208</v>
      </c>
    </row>
    <row r="27" spans="1:29">
      <c r="A27" s="20" t="s">
        <v>224</v>
      </c>
      <c r="Q27" s="22" t="s">
        <v>151</v>
      </c>
      <c r="R27" s="42" t="s">
        <v>209</v>
      </c>
      <c r="S27" s="42" t="s">
        <v>210</v>
      </c>
      <c r="T27" s="42" t="s">
        <v>211</v>
      </c>
      <c r="U27" s="42" t="s">
        <v>212</v>
      </c>
      <c r="V27" s="42" t="s">
        <v>213</v>
      </c>
      <c r="W27" s="42" t="s">
        <v>214</v>
      </c>
      <c r="X27" s="42" t="s">
        <v>215</v>
      </c>
      <c r="Y27" s="42" t="s">
        <v>216</v>
      </c>
      <c r="Z27" s="42" t="s">
        <v>217</v>
      </c>
      <c r="AA27" s="42" t="s">
        <v>218</v>
      </c>
      <c r="AB27" s="42" t="s">
        <v>219</v>
      </c>
      <c r="AC27" s="42" t="s">
        <v>220</v>
      </c>
    </row>
    <row r="28" spans="1:29">
      <c r="Q28" s="22" t="s">
        <v>65</v>
      </c>
      <c r="R28" s="11">
        <f>'Monthly P&amp;L'!C11</f>
        <v>13617.19</v>
      </c>
      <c r="S28" s="11">
        <f>'Monthly P&amp;L'!D11</f>
        <v>17386.33</v>
      </c>
      <c r="T28" s="11">
        <f>'Monthly P&amp;L'!E11</f>
        <v>15188.96</v>
      </c>
      <c r="U28" s="11">
        <f>'Monthly P&amp;L'!F11</f>
        <v>14549.57</v>
      </c>
      <c r="V28" s="11">
        <f>'Monthly P&amp;L'!G11</f>
        <v>16139.09</v>
      </c>
      <c r="W28" s="11">
        <f>'Monthly P&amp;L'!H11</f>
        <v>16961.38</v>
      </c>
      <c r="X28" s="11">
        <f>'Monthly P&amp;L'!I11</f>
        <v>13684.61</v>
      </c>
      <c r="Y28" s="11">
        <f>'Monthly P&amp;L'!J11</f>
        <v>14236.73</v>
      </c>
      <c r="Z28" s="11">
        <f>'Monthly P&amp;L'!K11</f>
        <v>14416.89</v>
      </c>
      <c r="AA28" s="11">
        <f>'Monthly P&amp;L'!L11</f>
        <v>15602.75</v>
      </c>
      <c r="AB28" s="11">
        <f>'Monthly P&amp;L'!M11</f>
        <v>24130.03</v>
      </c>
      <c r="AC28" s="11">
        <f>'Monthly P&amp;L'!N11</f>
        <v>26820.64</v>
      </c>
    </row>
    <row r="29" spans="1:29">
      <c r="Q29" s="22" t="s">
        <v>81</v>
      </c>
      <c r="R29" s="11">
        <f>'Monthly P&amp;L'!C37</f>
        <v>856.990000000002</v>
      </c>
      <c r="S29" s="11">
        <f>'Monthly P&amp;L'!D37</f>
        <v>1211.45</v>
      </c>
      <c r="T29" s="11">
        <f>'Monthly P&amp;L'!E37</f>
        <v>84.5899999999992</v>
      </c>
      <c r="U29" s="11">
        <f>'Monthly P&amp;L'!F37</f>
        <v>245.7</v>
      </c>
      <c r="V29" s="11">
        <f>'Monthly P&amp;L'!G37</f>
        <v>1249.11</v>
      </c>
      <c r="W29" s="11">
        <f>'Monthly P&amp;L'!H37</f>
        <v>1477.77</v>
      </c>
      <c r="X29" s="11">
        <f>'Monthly P&amp;L'!I37</f>
        <v>968.17</v>
      </c>
      <c r="Y29" s="11">
        <f>'Monthly P&amp;L'!J37</f>
        <v>845.62</v>
      </c>
      <c r="Z29" s="11">
        <f>'Monthly P&amp;L'!K37</f>
        <v>1445.08</v>
      </c>
      <c r="AA29" s="11">
        <f>'Monthly P&amp;L'!L37</f>
        <v>1441.17</v>
      </c>
      <c r="AB29" s="11">
        <f>'Monthly P&amp;L'!M37</f>
        <v>1641.4</v>
      </c>
      <c r="AC29" s="11">
        <f>'Monthly P&amp;L'!N37</f>
        <v>1747.85</v>
      </c>
    </row>
    <row r="30" spans="1:29">
      <c r="Q30" s="22" t="s">
        <v>221</v>
      </c>
      <c r="R30" s="11">
        <f>'Monthly P&amp;L'!C42</f>
        <v>12760.2</v>
      </c>
      <c r="S30" s="11">
        <f>'Monthly P&amp;L'!D42</f>
        <v>16129.13</v>
      </c>
      <c r="T30" s="11">
        <f>'Monthly P&amp;L'!E42</f>
        <v>15058.62</v>
      </c>
      <c r="U30" s="11">
        <f>'Monthly P&amp;L'!F42</f>
        <v>14258.12</v>
      </c>
      <c r="V30" s="11">
        <f>'Monthly P&amp;L'!G42</f>
        <v>14844.23</v>
      </c>
      <c r="W30" s="11">
        <f>'Monthly P&amp;L'!H42</f>
        <v>15437.86</v>
      </c>
      <c r="X30" s="11">
        <f>'Monthly P&amp;L'!I42</f>
        <v>12670.69</v>
      </c>
      <c r="Y30" s="11">
        <f>'Monthly P&amp;L'!J42</f>
        <v>13345.36</v>
      </c>
      <c r="Z30" s="11">
        <f>'Monthly P&amp;L'!K42</f>
        <v>12926.06</v>
      </c>
      <c r="AA30" s="11">
        <f>'Monthly P&amp;L'!L42</f>
        <v>14115.83</v>
      </c>
      <c r="AB30" s="11">
        <f>'Monthly P&amp;L'!M42</f>
        <v>22442.88</v>
      </c>
      <c r="AC30" s="11">
        <f>'Monthly P&amp;L'!N42</f>
        <v>25027.04</v>
      </c>
    </row>
    <row r="31" spans="1:29">
      <c r="Q31" s="22" t="s">
        <v>31</v>
      </c>
      <c r="R31" s="11">
        <f>'Budget'!C17</f>
        <v>20000</v>
      </c>
      <c r="S31" s="11">
        <f>'Budget'!D17</f>
        <v>20000</v>
      </c>
      <c r="T31" s="11">
        <f>'Budget'!E17</f>
        <v>20000</v>
      </c>
      <c r="U31" s="11">
        <f>'Budget'!F17</f>
        <v>20000</v>
      </c>
      <c r="V31" s="11">
        <f>'Budget'!G17</f>
        <v>20000</v>
      </c>
      <c r="W31" s="11">
        <f>'Budget'!H17</f>
        <v>20000</v>
      </c>
      <c r="X31" s="11">
        <f>'Budget'!I17</f>
        <v>20000</v>
      </c>
      <c r="Y31" s="11">
        <f>'Budget'!J17</f>
        <v>20000</v>
      </c>
      <c r="Z31" s="11">
        <f>'Budget'!K17</f>
        <v>20000</v>
      </c>
      <c r="AA31" s="11">
        <f>'Budget'!L17</f>
        <v>20000</v>
      </c>
      <c r="AB31" s="11">
        <f>'Budget'!M17</f>
        <v>20000</v>
      </c>
      <c r="AC31" s="11">
        <f>'Budget'!N17</f>
        <v>20000</v>
      </c>
    </row>
    <row r="32" spans="1:29">
      <c r="Q32" s="22" t="s">
        <v>196</v>
      </c>
      <c r="R32" s="41">
        <f>'Monthly P&amp;L'!C19</f>
        <v>0.300476089413455</v>
      </c>
      <c r="S32" s="41">
        <f>'Monthly P&amp;L'!D19</f>
        <v>0.300277861975471</v>
      </c>
      <c r="T32" s="41">
        <f>'Monthly P&amp;L'!E19</f>
        <v>0.289902007774067</v>
      </c>
      <c r="U32" s="41">
        <f>'Monthly P&amp;L'!F19</f>
        <v>0.305914195402338</v>
      </c>
      <c r="V32" s="41">
        <f>'Monthly P&amp;L'!G19</f>
        <v>0.308508100518679</v>
      </c>
      <c r="W32" s="41">
        <f>'Monthly P&amp;L'!H19</f>
        <v>0.30333793594625</v>
      </c>
      <c r="X32" s="41">
        <f>'Monthly P&amp;L'!I19</f>
        <v>0.314880000233839</v>
      </c>
      <c r="Y32" s="41">
        <f>'Monthly P&amp;L'!J19</f>
        <v>0.297387813072243</v>
      </c>
      <c r="Z32" s="41">
        <f>'Monthly P&amp;L'!K19</f>
        <v>0.327112158031309</v>
      </c>
      <c r="AA32" s="41">
        <f>'Monthly P&amp;L'!L19</f>
        <v>0.320296101648748</v>
      </c>
      <c r="AB32" s="41">
        <f>'Monthly P&amp;L'!M19</f>
        <v>0.298384626956535</v>
      </c>
      <c r="AC32" s="41">
        <f>'Monthly P&amp;L'!N19</f>
        <v>0.319863358965334</v>
      </c>
    </row>
    <row r="33" spans="17:29">
      <c r="Q33" s="22" t="s">
        <v>197</v>
      </c>
      <c r="R33" s="41">
        <f>'Monthly P&amp;L'!C35</f>
        <v>0.0629344233281611</v>
      </c>
      <c r="S33" s="41">
        <f>'Monthly P&amp;L'!D35</f>
        <v>0.0696783047371123</v>
      </c>
      <c r="T33" s="41">
        <f>'Monthly P&amp;L'!E35</f>
        <v>0.00556917655981708</v>
      </c>
      <c r="U33" s="41">
        <f>'Monthly P&amp;L'!F35</f>
        <v>0.0168870970069906</v>
      </c>
      <c r="V33" s="41">
        <f>'Monthly P&amp;L'!G35</f>
        <v>0.0773965570549517</v>
      </c>
      <c r="W33" s="41">
        <f>'Monthly P&amp;L'!H35</f>
        <v>0.087125575867058</v>
      </c>
      <c r="X33" s="41">
        <f>'Monthly P&amp;L'!I35</f>
        <v>0.0707488192940829</v>
      </c>
      <c r="Y33" s="41">
        <f>'Monthly P&amp;L'!J35</f>
        <v>0.0593970666016705</v>
      </c>
      <c r="Z33" s="41">
        <f>'Monthly P&amp;L'!K35</f>
        <v>0.100235210229113</v>
      </c>
      <c r="AA33" s="41">
        <f>'Monthly P&amp;L'!L35</f>
        <v>0.0923664097675089</v>
      </c>
      <c r="AB33" s="41">
        <f>'Monthly P&amp;L'!M35</f>
        <v>0.0680231230545507</v>
      </c>
      <c r="AC33" s="41">
        <f>'Monthly P&amp;L'!N35</f>
        <v>0.0651680944228026</v>
      </c>
    </row>
    <row r="35" spans="17:29">
      <c r="Q35" s="22" t="s">
        <v>222</v>
      </c>
      <c r="R35" s="11">
        <f>'Data'!O6</f>
        <v>116479.68</v>
      </c>
    </row>
    <row r="36" spans="17:29">
      <c r="Q36" s="22" t="s">
        <v>223</v>
      </c>
      <c r="R36" s="11">
        <f>'Data'!O7</f>
        <v>84475.94</v>
      </c>
    </row>
  </sheetData>
  <pageMargins left="0.4" right="0.4" top="0.5" bottom="0.5" header="0.3" footer="0.3"/>
  <pageSetup paperSize="1" fitToHeight="0" orientation="landscape"/>
  <headerFooter>
    <oddFooter>&amp;L&amp;8Escentials LLC · FY2025 · Illustrative figures&amp;R&amp;8&amp;A</oddFooter>
  </headerFooter>
  <rowBreaks count="1" manualBreakCount="1">
    <brk id="26" max="16383" man="1"/>
  </rowBreaks>
  <drawing r:id="rId1"/>
</worksheet>
</file>

<file path=xl/worksheets/sheet10.xml><?xml version="1.0" encoding="utf-8"?>
<worksheet xmlns="http://schemas.openxmlformats.org/spreadsheetml/2006/main" xmlns:r="http://schemas.openxmlformats.org/officeDocument/2006/relationships">
  <sheetPr>
    <tabColor rgb="FF2E75B6"/>
    <pageSetUpPr fitToPage="1"/>
  </sheetPr>
  <dimension ref="A1:G88"/>
  <sheetViews>
    <sheetView workbookViewId="0"/>
  </sheetViews>
  <sheetFormatPr defaultRowHeight="15"/>
  <cols>
    <col min="1" max="1" width="46.7109375" customWidth="1"/>
    <col min="2" max="2" width="13.7109375" customWidth="1"/>
    <col min="3" max="3" width="17.7109375" customWidth="1"/>
    <col min="4" max="7" width="13.7109375" customWidth="1"/>
  </cols>
  <sheetData>
    <row r="1" spans="1:5">
      <c r="A1" s="15" t="s">
        <v>21</v>
      </c>
    </row>
    <row r="2" spans="1:5">
      <c r="A2" s="17" t="s">
        <v>225</v>
      </c>
    </row>
    <row r="3" spans="1:5">
      <c r="A3" s="18" t="s">
        <v>140</v>
      </c>
    </row>
    <row r="5" spans="1:5">
      <c r="A5" s="20" t="s">
        <v>226</v>
      </c>
    </row>
    <row r="6" spans="1:5">
      <c r="A6" s="17" t="s">
        <v>227</v>
      </c>
    </row>
    <row r="7" spans="1:5" ht="27" customHeight="1">
      <c r="A7" s="43" t="s">
        <v>228</v>
      </c>
      <c r="B7" s="19" t="s">
        <v>192</v>
      </c>
      <c r="C7" s="19" t="s">
        <v>62</v>
      </c>
      <c r="D7" s="19" t="s">
        <v>229</v>
      </c>
      <c r="E7" s="19" t="s">
        <v>230</v>
      </c>
    </row>
    <row r="8" spans="1:5">
      <c r="A8" s="22" t="s">
        <v>222</v>
      </c>
      <c r="B8" s="9">
        <v>1044</v>
      </c>
      <c r="C8" s="9">
        <v>116479.68</v>
      </c>
      <c r="D8" s="44">
        <v>111.57</v>
      </c>
      <c r="E8" s="45">
        <v>0.5796</v>
      </c>
    </row>
    <row r="9" spans="1:5">
      <c r="A9" s="22" t="s">
        <v>223</v>
      </c>
      <c r="B9" s="9">
        <v>1708</v>
      </c>
      <c r="C9" s="9">
        <v>84475.94</v>
      </c>
      <c r="D9" s="44">
        <v>49.46</v>
      </c>
      <c r="E9" s="45">
        <v>0.4204</v>
      </c>
    </row>
    <row r="26" spans="1:7">
      <c r="A26" s="20" t="s">
        <v>231</v>
      </c>
    </row>
    <row r="27" spans="1:7">
      <c r="A27" s="17" t="s">
        <v>232</v>
      </c>
    </row>
    <row r="28" spans="1:7" ht="27" customHeight="1">
      <c r="A28" s="43" t="s">
        <v>233</v>
      </c>
      <c r="B28" s="19" t="s">
        <v>234</v>
      </c>
      <c r="C28" s="19" t="s">
        <v>62</v>
      </c>
      <c r="D28" s="19" t="s">
        <v>235</v>
      </c>
      <c r="E28" s="19" t="s">
        <v>67</v>
      </c>
      <c r="F28" s="19" t="s">
        <v>196</v>
      </c>
      <c r="G28" s="19" t="s">
        <v>236</v>
      </c>
    </row>
    <row r="29" spans="1:7">
      <c r="A29" s="22" t="s">
        <v>237</v>
      </c>
      <c r="B29" s="9">
        <v>1200</v>
      </c>
      <c r="C29" s="9">
        <v>170956.61</v>
      </c>
      <c r="D29" s="9">
        <v>138119</v>
      </c>
      <c r="E29" s="9">
        <v>32837.61</v>
      </c>
      <c r="F29" s="45">
        <v>0.1921</v>
      </c>
      <c r="G29" s="45">
        <v>0.5823</v>
      </c>
    </row>
    <row r="30" spans="1:7">
      <c r="A30" s="22" t="s">
        <v>238</v>
      </c>
      <c r="B30" s="9">
        <v>2321</v>
      </c>
      <c r="C30" s="9">
        <v>22255.79</v>
      </c>
      <c r="D30" s="9">
        <v>4307.1</v>
      </c>
      <c r="E30" s="9">
        <v>17948.69</v>
      </c>
      <c r="F30" s="45">
        <v>0.8065</v>
      </c>
      <c r="G30" s="45">
        <v>0.3183</v>
      </c>
    </row>
    <row r="31" spans="1:7">
      <c r="A31" s="22" t="s">
        <v>239</v>
      </c>
      <c r="B31" s="9">
        <v>878</v>
      </c>
      <c r="C31" s="9">
        <v>7743.22</v>
      </c>
      <c r="D31" s="9">
        <v>2136.1</v>
      </c>
      <c r="E31" s="9">
        <v>5607.12</v>
      </c>
      <c r="F31" s="45">
        <v>0.7241</v>
      </c>
      <c r="G31" s="45">
        <v>0.0994</v>
      </c>
    </row>
    <row r="48" spans="1:1">
      <c r="A48" s="20" t="s">
        <v>240</v>
      </c>
    </row>
    <row r="49" spans="1:7">
      <c r="A49" s="17" t="s">
        <v>241</v>
      </c>
    </row>
    <row r="50" spans="1:7" ht="27" customHeight="1">
      <c r="A50" s="43" t="s">
        <v>242</v>
      </c>
      <c r="B50" s="19" t="s">
        <v>243</v>
      </c>
      <c r="C50" s="19" t="s">
        <v>233</v>
      </c>
      <c r="D50" s="19" t="s">
        <v>234</v>
      </c>
      <c r="E50" s="19" t="s">
        <v>62</v>
      </c>
      <c r="F50" s="19" t="s">
        <v>67</v>
      </c>
      <c r="G50" s="19" t="s">
        <v>196</v>
      </c>
    </row>
    <row r="51" spans="1:7">
      <c r="A51" s="22" t="s">
        <v>244</v>
      </c>
      <c r="B51" s="9">
        <v>1</v>
      </c>
      <c r="C51" s="46" t="s">
        <v>238</v>
      </c>
      <c r="D51" s="9">
        <v>552</v>
      </c>
      <c r="E51" s="9">
        <v>8274.48</v>
      </c>
      <c r="F51" s="9">
        <v>6535.68</v>
      </c>
      <c r="G51" s="45">
        <v>0.7899</v>
      </c>
    </row>
    <row r="52" spans="1:7">
      <c r="A52" s="22" t="s">
        <v>245</v>
      </c>
      <c r="B52" s="9">
        <v>2</v>
      </c>
      <c r="C52" s="46" t="s">
        <v>237</v>
      </c>
      <c r="D52" s="9">
        <v>187</v>
      </c>
      <c r="E52" s="9">
        <v>34158.11</v>
      </c>
      <c r="F52" s="9">
        <v>6482.11</v>
      </c>
      <c r="G52" s="45">
        <v>0.1898</v>
      </c>
    </row>
    <row r="53" spans="1:7">
      <c r="A53" s="22" t="s">
        <v>246</v>
      </c>
      <c r="B53" s="9">
        <v>3</v>
      </c>
      <c r="C53" s="46" t="s">
        <v>238</v>
      </c>
      <c r="D53" s="9">
        <v>677</v>
      </c>
      <c r="E53" s="9">
        <v>7440.23</v>
      </c>
      <c r="F53" s="9">
        <v>6018.53</v>
      </c>
      <c r="G53" s="45">
        <v>0.8089</v>
      </c>
    </row>
    <row r="54" spans="1:7">
      <c r="A54" s="22" t="s">
        <v>247</v>
      </c>
      <c r="B54" s="9">
        <v>4</v>
      </c>
      <c r="C54" s="46" t="s">
        <v>238</v>
      </c>
      <c r="D54" s="9">
        <v>1092</v>
      </c>
      <c r="E54" s="9">
        <v>6541.08</v>
      </c>
      <c r="F54" s="9">
        <v>5394.48</v>
      </c>
      <c r="G54" s="45">
        <v>0.8247</v>
      </c>
    </row>
    <row r="55" spans="1:7">
      <c r="A55" s="22" t="s">
        <v>248</v>
      </c>
      <c r="B55" s="9">
        <v>5</v>
      </c>
      <c r="C55" s="46" t="s">
        <v>237</v>
      </c>
      <c r="D55" s="9">
        <v>86</v>
      </c>
      <c r="E55" s="9">
        <v>25049.19</v>
      </c>
      <c r="F55" s="9">
        <v>4065.19</v>
      </c>
      <c r="G55" s="45">
        <v>0.1623</v>
      </c>
    </row>
    <row r="56" spans="1:7">
      <c r="A56" s="22" t="s">
        <v>249</v>
      </c>
      <c r="B56" s="9">
        <v>6</v>
      </c>
      <c r="C56" s="46" t="s">
        <v>237</v>
      </c>
      <c r="D56" s="9">
        <v>155</v>
      </c>
      <c r="E56" s="9">
        <v>14980.95</v>
      </c>
      <c r="F56" s="9">
        <v>3200.95</v>
      </c>
      <c r="G56" s="45">
        <v>0.2137</v>
      </c>
    </row>
    <row r="57" spans="1:7">
      <c r="A57" s="22" t="s">
        <v>250</v>
      </c>
      <c r="B57" s="9">
        <v>7</v>
      </c>
      <c r="C57" s="46" t="s">
        <v>239</v>
      </c>
      <c r="D57" s="9">
        <v>514</v>
      </c>
      <c r="E57" s="9">
        <v>4106.86</v>
      </c>
      <c r="F57" s="9">
        <v>2898.96</v>
      </c>
      <c r="G57" s="45">
        <v>0.7059</v>
      </c>
    </row>
    <row r="58" spans="1:7">
      <c r="A58" s="22" t="s">
        <v>251</v>
      </c>
      <c r="B58" s="9">
        <v>8</v>
      </c>
      <c r="C58" s="46" t="s">
        <v>239</v>
      </c>
      <c r="D58" s="9">
        <v>364</v>
      </c>
      <c r="E58" s="9">
        <v>3636.36</v>
      </c>
      <c r="F58" s="9">
        <v>2708.16</v>
      </c>
      <c r="G58" s="45">
        <v>0.7447</v>
      </c>
    </row>
    <row r="59" spans="1:7">
      <c r="A59" s="22" t="s">
        <v>252</v>
      </c>
      <c r="B59" s="9">
        <v>9</v>
      </c>
      <c r="C59" s="46" t="s">
        <v>237</v>
      </c>
      <c r="D59" s="9">
        <v>175</v>
      </c>
      <c r="E59" s="9">
        <v>10680.16</v>
      </c>
      <c r="F59" s="9">
        <v>2630.16</v>
      </c>
      <c r="G59" s="45">
        <v>0.2463</v>
      </c>
    </row>
    <row r="60" spans="1:7">
      <c r="A60" s="22" t="s">
        <v>253</v>
      </c>
      <c r="B60" s="9">
        <v>10</v>
      </c>
      <c r="C60" s="46" t="s">
        <v>237</v>
      </c>
      <c r="D60" s="9">
        <v>55</v>
      </c>
      <c r="E60" s="9">
        <v>14407.46</v>
      </c>
      <c r="F60" s="9">
        <v>2362.46</v>
      </c>
      <c r="G60" s="45">
        <v>0.164</v>
      </c>
    </row>
    <row r="77" spans="1:3">
      <c r="A77" s="20" t="s">
        <v>254</v>
      </c>
    </row>
    <row r="78" spans="1:3">
      <c r="A78" s="17" t="s">
        <v>255</v>
      </c>
    </row>
    <row r="79" spans="1:3" ht="27" customHeight="1">
      <c r="A79" s="43" t="s">
        <v>256</v>
      </c>
      <c r="B79" s="19" t="s">
        <v>257</v>
      </c>
      <c r="C79" s="19" t="s">
        <v>258</v>
      </c>
    </row>
    <row r="80" spans="1:3">
      <c r="A80" s="22" t="s">
        <v>71</v>
      </c>
      <c r="B80" s="9">
        <v>17934.9</v>
      </c>
      <c r="C80" s="45">
        <v>0.369</v>
      </c>
    </row>
    <row r="81" spans="1:3">
      <c r="A81" s="22" t="s">
        <v>69</v>
      </c>
      <c r="B81" s="9">
        <v>15851.1</v>
      </c>
      <c r="C81" s="45">
        <v>0.3261</v>
      </c>
    </row>
    <row r="82" spans="1:3">
      <c r="A82" s="22" t="s">
        <v>72</v>
      </c>
      <c r="B82" s="9">
        <v>6754.06</v>
      </c>
      <c r="C82" s="45">
        <v>0.139</v>
      </c>
    </row>
    <row r="83" spans="1:3">
      <c r="A83" s="22" t="s">
        <v>70</v>
      </c>
      <c r="B83" s="9">
        <v>3223.94</v>
      </c>
      <c r="C83" s="45">
        <v>0.0663</v>
      </c>
    </row>
    <row r="84" spans="1:3">
      <c r="A84" s="22" t="s">
        <v>73</v>
      </c>
      <c r="B84" s="9">
        <v>1036.1</v>
      </c>
      <c r="C84" s="45">
        <v>0.0213</v>
      </c>
    </row>
    <row r="85" spans="1:3">
      <c r="A85" s="22" t="s">
        <v>77</v>
      </c>
      <c r="B85" s="9">
        <v>1003.27</v>
      </c>
      <c r="C85" s="45">
        <v>0.0206</v>
      </c>
    </row>
    <row r="86" spans="1:3">
      <c r="A86" s="22" t="s">
        <v>75</v>
      </c>
      <c r="B86" s="9">
        <v>970</v>
      </c>
      <c r="C86" s="45">
        <v>0.02</v>
      </c>
    </row>
    <row r="87" spans="1:3">
      <c r="A87" s="22" t="s">
        <v>74</v>
      </c>
      <c r="B87" s="9">
        <v>924.4</v>
      </c>
      <c r="C87" s="45">
        <v>0.019</v>
      </c>
    </row>
    <row r="88" spans="1:3">
      <c r="A88" s="22" t="s">
        <v>76</v>
      </c>
      <c r="B88" s="9">
        <v>910</v>
      </c>
      <c r="C88" s="45">
        <v>0.0187</v>
      </c>
    </row>
  </sheetData>
  <pageMargins left="0.4" right="0.4" top="0.5" bottom="0.5" header="0.3" footer="0.3"/>
  <pageSetup paperSize="1" fitToHeight="0" orientation="landscape"/>
  <headerFooter>
    <oddFooter>&amp;L&amp;8Escentials LLC · FY2025 · Illustrative figures&amp;R&amp;8&amp;A</oddFooter>
  </headerFooter>
  <rowBreaks count="3" manualBreakCount="3">
    <brk id="25" max="16383" man="1"/>
    <brk id="47" max="16383" man="1"/>
    <brk id="76" max="16383" man="1"/>
  </rowBreaks>
  <drawing r:id="rId1"/>
</worksheet>
</file>

<file path=xl/worksheets/sheet11.xml><?xml version="1.0" encoding="utf-8"?>
<worksheet xmlns="http://schemas.openxmlformats.org/spreadsheetml/2006/main" xmlns:r="http://schemas.openxmlformats.org/officeDocument/2006/relationships">
  <sheetPr>
    <tabColor rgb="FF7F7F7F"/>
    <pageSetUpPr fitToPage="1"/>
  </sheetPr>
  <dimension ref="A1:O42"/>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7109375" hidden="1" customWidth="1"/>
    <col min="3" max="14" width="10.28515625" customWidth="1"/>
    <col min="15" max="15" width="11.7109375" customWidth="1"/>
  </cols>
  <sheetData>
    <row r="1" spans="1:15">
      <c r="A1" s="15" t="s">
        <v>23</v>
      </c>
    </row>
    <row r="2" spans="1:15">
      <c r="A2" s="17" t="s">
        <v>259</v>
      </c>
    </row>
    <row r="3" spans="1:15">
      <c r="A3" s="18" t="s">
        <v>140</v>
      </c>
    </row>
    <row r="4" spans="1:15">
      <c r="A4" s="6" t="s">
        <v>58</v>
      </c>
      <c r="C4" s="36">
        <v>45688</v>
      </c>
      <c r="D4" s="36">
        <v>45716</v>
      </c>
      <c r="E4" s="36">
        <v>45747</v>
      </c>
      <c r="F4" s="36">
        <v>45777</v>
      </c>
      <c r="G4" s="36">
        <v>45808</v>
      </c>
      <c r="H4" s="36">
        <v>45838</v>
      </c>
      <c r="I4" s="36">
        <v>45869</v>
      </c>
      <c r="J4" s="36">
        <v>45900</v>
      </c>
      <c r="K4" s="36">
        <v>45930</v>
      </c>
      <c r="L4" s="36">
        <v>45961</v>
      </c>
      <c r="M4" s="36">
        <v>45991</v>
      </c>
      <c r="N4" s="36">
        <v>46022</v>
      </c>
      <c r="O4" s="31" t="s">
        <v>165</v>
      </c>
    </row>
    <row r="5" spans="1:15">
      <c r="A5" s="20" t="s">
        <v>61</v>
      </c>
      <c r="C5" s="10"/>
      <c r="D5" s="10"/>
      <c r="E5" s="10"/>
      <c r="F5" s="10"/>
      <c r="G5" s="10"/>
      <c r="H5" s="10"/>
      <c r="I5" s="10"/>
      <c r="J5" s="10"/>
      <c r="K5" s="10"/>
      <c r="L5" s="10"/>
      <c r="M5" s="10"/>
      <c r="N5" s="10"/>
      <c r="O5" s="10"/>
    </row>
    <row r="6" spans="1:15">
      <c r="A6" s="22" t="s">
        <v>260</v>
      </c>
      <c r="C6" s="11">
        <f>'Data'!C6</f>
        <v>7868.76</v>
      </c>
      <c r="D6" s="11">
        <f>'Data'!D6</f>
        <v>10203.63</v>
      </c>
      <c r="E6" s="11">
        <f>'Data'!E6</f>
        <v>7998.73</v>
      </c>
      <c r="F6" s="11">
        <f>'Data'!F6</f>
        <v>9112.12</v>
      </c>
      <c r="G6" s="11">
        <f>'Data'!G6</f>
        <v>9220.82</v>
      </c>
      <c r="H6" s="11">
        <f>'Data'!H6</f>
        <v>9203.27</v>
      </c>
      <c r="I6" s="11">
        <f>'Data'!I6</f>
        <v>9009.83</v>
      </c>
      <c r="J6" s="11">
        <f>'Data'!J6</f>
        <v>8318.08</v>
      </c>
      <c r="K6" s="11">
        <f>'Data'!K6</f>
        <v>6705.48</v>
      </c>
      <c r="L6" s="11">
        <f>'Data'!L6</f>
        <v>8742.81</v>
      </c>
      <c r="M6" s="11">
        <f>'Data'!M6</f>
        <v>13018.48</v>
      </c>
      <c r="N6" s="11">
        <f>'Data'!N6</f>
        <v>17077.67</v>
      </c>
      <c r="O6" s="10">
        <f>SUM(C6:N6)</f>
        <v>116479.68</v>
      </c>
    </row>
    <row r="7" spans="1:15">
      <c r="A7" s="22" t="s">
        <v>261</v>
      </c>
      <c r="C7" s="11">
        <f>'Data'!C7</f>
        <v>5372.97</v>
      </c>
      <c r="D7" s="11">
        <f>'Data'!D7</f>
        <v>7371.53</v>
      </c>
      <c r="E7" s="11">
        <f>'Data'!E7</f>
        <v>7055.8</v>
      </c>
      <c r="F7" s="11">
        <f>'Data'!F7</f>
        <v>5360.45</v>
      </c>
      <c r="G7" s="11">
        <f>'Data'!G7</f>
        <v>6625.56</v>
      </c>
      <c r="H7" s="11">
        <f>'Data'!H7</f>
        <v>7295.16</v>
      </c>
      <c r="I7" s="11">
        <f>'Data'!I7</f>
        <v>4760.62</v>
      </c>
      <c r="J7" s="11">
        <f>'Data'!J7</f>
        <v>5839</v>
      </c>
      <c r="K7" s="11">
        <f>'Data'!K7</f>
        <v>7104.87</v>
      </c>
      <c r="L7" s="11">
        <f>'Data'!L7</f>
        <v>6761.88</v>
      </c>
      <c r="M7" s="11">
        <f>'Data'!M7</f>
        <v>10746.63</v>
      </c>
      <c r="N7" s="11">
        <f>'Data'!N7</f>
        <v>10181.47</v>
      </c>
      <c r="O7" s="10">
        <f>SUM(C7:N7)</f>
        <v>84475.94</v>
      </c>
    </row>
    <row r="8" spans="1:15">
      <c r="A8" s="22" t="s">
        <v>63</v>
      </c>
      <c r="C8" s="11">
        <f>'Data'!C11</f>
        <v>509.15</v>
      </c>
      <c r="D8" s="11">
        <f>'Data'!D11</f>
        <v>616.97</v>
      </c>
      <c r="E8" s="11">
        <f>'Data'!E11</f>
        <v>539.1</v>
      </c>
      <c r="F8" s="11">
        <f>'Data'!F11</f>
        <v>581.03</v>
      </c>
      <c r="G8" s="11">
        <f>'Data'!G11</f>
        <v>599</v>
      </c>
      <c r="H8" s="11">
        <f>'Data'!H11</f>
        <v>640.93</v>
      </c>
      <c r="I8" s="11">
        <f>'Data'!I11</f>
        <v>527.12</v>
      </c>
      <c r="J8" s="11">
        <f>'Data'!J11</f>
        <v>479.2</v>
      </c>
      <c r="K8" s="11">
        <f>'Data'!K11</f>
        <v>646.92</v>
      </c>
      <c r="L8" s="11">
        <f>'Data'!L11</f>
        <v>622.96</v>
      </c>
      <c r="M8" s="11">
        <f>'Data'!M11</f>
        <v>826.62</v>
      </c>
      <c r="N8" s="11">
        <f>'Data'!N11</f>
        <v>1042.26</v>
      </c>
      <c r="O8" s="10">
        <f>SUM(C8:N8)</f>
        <v>7631.26</v>
      </c>
    </row>
    <row r="9" spans="1:15">
      <c r="A9" s="22" t="s">
        <v>262</v>
      </c>
      <c r="C9" s="11">
        <f>-'Data'!C12</f>
        <v>-26.39</v>
      </c>
      <c r="D9" s="11">
        <f>-'Data'!D12</f>
        <v>-29.91</v>
      </c>
      <c r="E9" s="11">
        <f>-'Data'!E12</f>
        <v>-62.91</v>
      </c>
      <c r="F9" s="11">
        <f>-'Data'!F12</f>
        <v>-57.25</v>
      </c>
      <c r="G9" s="11">
        <f>-'Data'!G12</f>
        <v>-42.05</v>
      </c>
      <c r="H9" s="11">
        <f>-'Data'!H12</f>
        <v>-47.6</v>
      </c>
      <c r="I9" s="11">
        <f>-'Data'!I12</f>
        <v>-32.69</v>
      </c>
      <c r="J9" s="11">
        <f>-'Data'!J12</f>
        <v>-20.69</v>
      </c>
      <c r="K9" s="11">
        <f>-'Data'!K12</f>
        <v>-23.4</v>
      </c>
      <c r="L9" s="11">
        <f>-'Data'!L12</f>
        <v>-67.36</v>
      </c>
      <c r="M9" s="11">
        <f>-'Data'!M12</f>
        <v>-103.89</v>
      </c>
      <c r="N9" s="11">
        <f>-'Data'!N12</f>
        <v>-84.34</v>
      </c>
      <c r="O9" s="10">
        <f>SUM(C9:N9)</f>
        <v>-598.48</v>
      </c>
    </row>
    <row r="10" spans="1:15">
      <c r="A10" s="22" t="s">
        <v>263</v>
      </c>
      <c r="C10" s="11">
        <f>-'Data'!C13</f>
        <v>-107.3</v>
      </c>
      <c r="D10" s="11">
        <f>-'Data'!D13</f>
        <v>-775.89</v>
      </c>
      <c r="E10" s="11">
        <f>-'Data'!E13</f>
        <v>-341.76</v>
      </c>
      <c r="F10" s="11">
        <f>-'Data'!F13</f>
        <v>-446.78</v>
      </c>
      <c r="G10" s="11">
        <f>-'Data'!G13</f>
        <v>-264.24</v>
      </c>
      <c r="H10" s="11">
        <f>-'Data'!H13</f>
        <v>-130.38</v>
      </c>
      <c r="I10" s="11">
        <f>-'Data'!I13</f>
        <v>-580.27</v>
      </c>
      <c r="J10" s="11">
        <f>-'Data'!J13</f>
        <v>-378.86</v>
      </c>
      <c r="K10" s="11">
        <f>-'Data'!K13</f>
        <v>-16.98</v>
      </c>
      <c r="L10" s="11">
        <f>-'Data'!L13</f>
        <v>-457.54</v>
      </c>
      <c r="M10" s="11">
        <f>-'Data'!M13</f>
        <v>-357.81</v>
      </c>
      <c r="N10" s="11">
        <f>-'Data'!N13</f>
        <v>-1396.42</v>
      </c>
      <c r="O10" s="10">
        <f>SUM(C10:N10)</f>
        <v>-5254.23</v>
      </c>
    </row>
    <row r="11" spans="1:15">
      <c r="A11" s="24" t="s">
        <v>65</v>
      </c>
      <c r="C11" s="27">
        <f>SUM(C6:C10)</f>
        <v>13617.19</v>
      </c>
      <c r="D11" s="27">
        <f>SUM(D6:D10)</f>
        <v>17386.33</v>
      </c>
      <c r="E11" s="27">
        <f>SUM(E6:E10)</f>
        <v>15188.96</v>
      </c>
      <c r="F11" s="27">
        <f>SUM(F6:F10)</f>
        <v>14549.57</v>
      </c>
      <c r="G11" s="27">
        <f>SUM(G6:G10)</f>
        <v>16139.09</v>
      </c>
      <c r="H11" s="27">
        <f>SUM(H6:H10)</f>
        <v>16961.38</v>
      </c>
      <c r="I11" s="27">
        <f>SUM(I6:I10)</f>
        <v>13684.61</v>
      </c>
      <c r="J11" s="27">
        <f>SUM(J6:J10)</f>
        <v>14236.73</v>
      </c>
      <c r="K11" s="27">
        <f>SUM(K6:K10)</f>
        <v>14416.89</v>
      </c>
      <c r="L11" s="27">
        <f>SUM(L6:L10)</f>
        <v>15602.75</v>
      </c>
      <c r="M11" s="27">
        <f>SUM(M6:M10)</f>
        <v>24130.03</v>
      </c>
      <c r="N11" s="27">
        <f>SUM(N6:N10)</f>
        <v>26820.64</v>
      </c>
      <c r="O11" s="27">
        <f>SUM(C11:N11)</f>
        <v>202734.17</v>
      </c>
    </row>
    <row r="12" spans="1:15">
      <c r="A12" s="22"/>
      <c r="C12" s="10"/>
      <c r="D12" s="10"/>
      <c r="E12" s="10"/>
      <c r="F12" s="10"/>
      <c r="G12" s="10"/>
      <c r="H12" s="10"/>
      <c r="I12" s="10"/>
      <c r="J12" s="10"/>
      <c r="K12" s="10"/>
      <c r="L12" s="10"/>
      <c r="M12" s="10"/>
      <c r="N12" s="10"/>
      <c r="O12" s="10"/>
    </row>
    <row r="13" spans="1:15">
      <c r="A13" s="20" t="s">
        <v>66</v>
      </c>
      <c r="C13" s="10"/>
      <c r="D13" s="10"/>
      <c r="E13" s="10"/>
      <c r="F13" s="10"/>
      <c r="G13" s="10"/>
      <c r="H13" s="10"/>
      <c r="I13" s="10"/>
      <c r="J13" s="10"/>
      <c r="K13" s="10"/>
      <c r="L13" s="10"/>
      <c r="M13" s="10"/>
      <c r="N13" s="10"/>
      <c r="O13" s="10"/>
    </row>
    <row r="14" spans="1:15">
      <c r="A14" s="22" t="s">
        <v>264</v>
      </c>
      <c r="C14" s="11">
        <f>'Data'!C16</f>
        <v>9101</v>
      </c>
      <c r="D14" s="11">
        <f>'Data'!D16</f>
        <v>11657</v>
      </c>
      <c r="E14" s="11">
        <f>'Data'!E16</f>
        <v>10357</v>
      </c>
      <c r="F14" s="11">
        <f>'Data'!F16</f>
        <v>9648</v>
      </c>
      <c r="G14" s="11">
        <f>'Data'!G16</f>
        <v>10645</v>
      </c>
      <c r="H14" s="11">
        <f>'Data'!H16</f>
        <v>11308</v>
      </c>
      <c r="I14" s="11">
        <f>'Data'!I16</f>
        <v>8929</v>
      </c>
      <c r="J14" s="11">
        <f>'Data'!J16</f>
        <v>9590</v>
      </c>
      <c r="K14" s="11">
        <f>'Data'!K16</f>
        <v>9201</v>
      </c>
      <c r="L14" s="11">
        <f>'Data'!L16</f>
        <v>10062</v>
      </c>
      <c r="M14" s="11">
        <f>'Data'!M16</f>
        <v>16201</v>
      </c>
      <c r="N14" s="11">
        <f>'Data'!N16</f>
        <v>17307</v>
      </c>
      <c r="O14" s="10">
        <f>SUM(C14:N14)</f>
        <v>134006</v>
      </c>
    </row>
    <row r="15" spans="1:15">
      <c r="A15" s="22" t="s">
        <v>265</v>
      </c>
      <c r="C15" s="11">
        <f>'Data'!C17</f>
        <v>424.55</v>
      </c>
      <c r="D15" s="11">
        <f>'Data'!D17</f>
        <v>508.6</v>
      </c>
      <c r="E15" s="11">
        <f>'Data'!E17</f>
        <v>428.65</v>
      </c>
      <c r="F15" s="11">
        <f>'Data'!F17</f>
        <v>450.65</v>
      </c>
      <c r="G15" s="11">
        <f>'Data'!G17</f>
        <v>515.05</v>
      </c>
      <c r="H15" s="11">
        <f>'Data'!H17</f>
        <v>508.35</v>
      </c>
      <c r="I15" s="11">
        <f>'Data'!I17</f>
        <v>446.6</v>
      </c>
      <c r="J15" s="11">
        <f>'Data'!J17</f>
        <v>412.9</v>
      </c>
      <c r="K15" s="11">
        <f>'Data'!K17</f>
        <v>499.95</v>
      </c>
      <c r="L15" s="11">
        <f>'Data'!L17</f>
        <v>543.25</v>
      </c>
      <c r="M15" s="11">
        <f>'Data'!M17</f>
        <v>729</v>
      </c>
      <c r="N15" s="11">
        <f>'Data'!N17</f>
        <v>934.7</v>
      </c>
      <c r="O15" s="10">
        <f>SUM(C15:N15)</f>
        <v>6402.25</v>
      </c>
    </row>
    <row r="16" spans="1:15">
      <c r="A16" s="24" t="s">
        <v>266</v>
      </c>
      <c r="C16" s="27">
        <f>C14+C15</f>
        <v>9525.55</v>
      </c>
      <c r="D16" s="27">
        <f>D14+D15</f>
        <v>12165.6</v>
      </c>
      <c r="E16" s="27">
        <f>E14+E15</f>
        <v>10785.65</v>
      </c>
      <c r="F16" s="27">
        <f>F14+F15</f>
        <v>10098.65</v>
      </c>
      <c r="G16" s="27">
        <f>G14+G15</f>
        <v>11160.05</v>
      </c>
      <c r="H16" s="27">
        <f>H14+H15</f>
        <v>11816.35</v>
      </c>
      <c r="I16" s="27">
        <f>I14+I15</f>
        <v>9375.6</v>
      </c>
      <c r="J16" s="27">
        <f>J14+J15</f>
        <v>10002.9</v>
      </c>
      <c r="K16" s="27">
        <f>K14+K15</f>
        <v>9700.95</v>
      </c>
      <c r="L16" s="27">
        <f>L14+L15</f>
        <v>10605.25</v>
      </c>
      <c r="M16" s="27">
        <f>M14+M15</f>
        <v>16930</v>
      </c>
      <c r="N16" s="27">
        <f>N14+N15</f>
        <v>18241.7</v>
      </c>
      <c r="O16" s="27">
        <f>SUM(C16:N16)</f>
        <v>140408.25</v>
      </c>
    </row>
    <row r="17" spans="1:15">
      <c r="A17" s="22"/>
      <c r="C17" s="10"/>
      <c r="D17" s="10"/>
      <c r="E17" s="10"/>
      <c r="F17" s="10"/>
      <c r="G17" s="10"/>
      <c r="H17" s="10"/>
      <c r="I17" s="10"/>
      <c r="J17" s="10"/>
      <c r="K17" s="10"/>
      <c r="L17" s="10"/>
      <c r="M17" s="10"/>
      <c r="N17" s="10"/>
      <c r="O17" s="10"/>
    </row>
    <row r="18" spans="1:15">
      <c r="A18" s="24" t="s">
        <v>67</v>
      </c>
      <c r="C18" s="27">
        <f>C11-C16</f>
        <v>4091.64</v>
      </c>
      <c r="D18" s="27">
        <f>D11-D16</f>
        <v>5220.73</v>
      </c>
      <c r="E18" s="27">
        <f>E11-E16</f>
        <v>4403.31</v>
      </c>
      <c r="F18" s="27">
        <f>F11-F16</f>
        <v>4450.92</v>
      </c>
      <c r="G18" s="27">
        <f>G11-G16</f>
        <v>4979.04</v>
      </c>
      <c r="H18" s="27">
        <f>H11-H16</f>
        <v>5145.03</v>
      </c>
      <c r="I18" s="27">
        <f>I11-I16</f>
        <v>4309.01</v>
      </c>
      <c r="J18" s="27">
        <f>J11-J16</f>
        <v>4233.83</v>
      </c>
      <c r="K18" s="27">
        <f>K11-K16</f>
        <v>4715.94</v>
      </c>
      <c r="L18" s="27">
        <f>L11-L16</f>
        <v>4997.5</v>
      </c>
      <c r="M18" s="27">
        <f>M11-M16</f>
        <v>7200.03</v>
      </c>
      <c r="N18" s="27">
        <f>N11-N16</f>
        <v>8578.94</v>
      </c>
      <c r="O18" s="27">
        <f>SUM(C18:N18)</f>
        <v>62325.92</v>
      </c>
    </row>
    <row r="19" spans="1:15">
      <c r="A19" s="37" t="s">
        <v>196</v>
      </c>
      <c r="C19" s="39">
        <f>IFERROR(C18/C11,0)</f>
        <v>0.300476089413455</v>
      </c>
      <c r="D19" s="39">
        <f>IFERROR(D18/D11,0)</f>
        <v>0.300277861975471</v>
      </c>
      <c r="E19" s="39">
        <f>IFERROR(E18/E11,0)</f>
        <v>0.289902007774067</v>
      </c>
      <c r="F19" s="39">
        <f>IFERROR(F18/F11,0)</f>
        <v>0.305914195402338</v>
      </c>
      <c r="G19" s="39">
        <f>IFERROR(G18/G11,0)</f>
        <v>0.308508100518679</v>
      </c>
      <c r="H19" s="39">
        <f>IFERROR(H18/H11,0)</f>
        <v>0.30333793594625</v>
      </c>
      <c r="I19" s="39">
        <f>IFERROR(I18/I11,0)</f>
        <v>0.314880000233839</v>
      </c>
      <c r="J19" s="39">
        <f>IFERROR(J18/J11,0)</f>
        <v>0.297387813072243</v>
      </c>
      <c r="K19" s="39">
        <f>IFERROR(K18/K11,0)</f>
        <v>0.327112158031309</v>
      </c>
      <c r="L19" s="39">
        <f>IFERROR(L18/L11,0)</f>
        <v>0.320296101648748</v>
      </c>
      <c r="M19" s="39">
        <f>IFERROR(M18/M11,0)</f>
        <v>0.298384626956535</v>
      </c>
      <c r="N19" s="39">
        <f>IFERROR(N18/N11,0)</f>
        <v>0.319863358965334</v>
      </c>
      <c r="O19" s="39">
        <f>IFERROR(O18/O11,0)</f>
        <v>0.307426814137942</v>
      </c>
    </row>
    <row r="20" spans="1:15">
      <c r="A20" s="22"/>
      <c r="C20" s="10"/>
      <c r="D20" s="10"/>
      <c r="E20" s="10"/>
      <c r="F20" s="10"/>
      <c r="G20" s="10"/>
      <c r="H20" s="10"/>
      <c r="I20" s="10"/>
      <c r="J20" s="10"/>
      <c r="K20" s="10"/>
      <c r="L20" s="10"/>
      <c r="M20" s="10"/>
      <c r="N20" s="10"/>
      <c r="O20" s="10"/>
    </row>
    <row r="21" spans="1:15">
      <c r="A21" s="20" t="s">
        <v>68</v>
      </c>
      <c r="C21" s="10"/>
      <c r="D21" s="10"/>
      <c r="E21" s="10"/>
      <c r="F21" s="10"/>
      <c r="G21" s="10"/>
      <c r="H21" s="10"/>
      <c r="I21" s="10"/>
      <c r="J21" s="10"/>
      <c r="K21" s="10"/>
      <c r="L21" s="10"/>
      <c r="M21" s="10"/>
      <c r="N21" s="10"/>
      <c r="O21" s="10"/>
    </row>
    <row r="22" spans="1:15">
      <c r="A22" s="22" t="s">
        <v>69</v>
      </c>
      <c r="C22" s="11">
        <f>'Data'!C20</f>
        <v>1070.6</v>
      </c>
      <c r="D22" s="11">
        <f>'Data'!D20</f>
        <v>1389.17</v>
      </c>
      <c r="E22" s="11">
        <f>'Data'!E20</f>
        <v>1085</v>
      </c>
      <c r="F22" s="11">
        <f>'Data'!F20</f>
        <v>1236.16</v>
      </c>
      <c r="G22" s="11">
        <f>'Data'!G20</f>
        <v>1257.38</v>
      </c>
      <c r="H22" s="11">
        <f>'Data'!H20</f>
        <v>1249.43</v>
      </c>
      <c r="I22" s="11">
        <f>'Data'!I20</f>
        <v>1225.4</v>
      </c>
      <c r="J22" s="11">
        <f>'Data'!J20</f>
        <v>1133.33</v>
      </c>
      <c r="K22" s="11">
        <f>'Data'!K20</f>
        <v>912.43</v>
      </c>
      <c r="L22" s="11">
        <f>'Data'!L20</f>
        <v>1191.23</v>
      </c>
      <c r="M22" s="11">
        <f>'Data'!M20</f>
        <v>1772.96</v>
      </c>
      <c r="N22" s="11">
        <f>'Data'!N20</f>
        <v>2328.01</v>
      </c>
      <c r="O22" s="10">
        <f>SUM(C22:N22)</f>
        <v>15851.1</v>
      </c>
    </row>
    <row r="23" spans="1:15">
      <c r="A23" s="22" t="s">
        <v>70</v>
      </c>
      <c r="C23" s="11">
        <f>'Data'!C21</f>
        <v>205.33</v>
      </c>
      <c r="D23" s="11">
        <f>'Data'!D21</f>
        <v>276.92</v>
      </c>
      <c r="E23" s="11">
        <f>'Data'!E21</f>
        <v>260.3</v>
      </c>
      <c r="F23" s="11">
        <f>'Data'!F21</f>
        <v>209.63</v>
      </c>
      <c r="G23" s="11">
        <f>'Data'!G21</f>
        <v>253.99</v>
      </c>
      <c r="H23" s="11">
        <f>'Data'!H21</f>
        <v>278.32</v>
      </c>
      <c r="I23" s="11">
        <f>'Data'!I21</f>
        <v>187.72</v>
      </c>
      <c r="J23" s="11">
        <f>'Data'!J21</f>
        <v>219.69</v>
      </c>
      <c r="K23" s="11">
        <f>'Data'!K21</f>
        <v>273.3</v>
      </c>
      <c r="L23" s="11">
        <f>'Data'!L21</f>
        <v>259.74</v>
      </c>
      <c r="M23" s="11">
        <f>'Data'!M21</f>
        <v>399.71</v>
      </c>
      <c r="N23" s="11">
        <f>'Data'!N21</f>
        <v>399.29</v>
      </c>
      <c r="O23" s="10">
        <f>SUM(C23:N23)</f>
        <v>3223.94</v>
      </c>
    </row>
    <row r="24" spans="1:15">
      <c r="A24" s="22" t="s">
        <v>71</v>
      </c>
      <c r="C24" s="11">
        <f>'Data'!C22</f>
        <v>1183.1</v>
      </c>
      <c r="D24" s="11">
        <f>'Data'!D22</f>
        <v>1524.2</v>
      </c>
      <c r="E24" s="11">
        <f>'Data'!E22</f>
        <v>1229.8</v>
      </c>
      <c r="F24" s="11">
        <f>'Data'!F22</f>
        <v>1232.55</v>
      </c>
      <c r="G24" s="11">
        <f>'Data'!G22</f>
        <v>1453.35</v>
      </c>
      <c r="H24" s="11">
        <f>'Data'!H22</f>
        <v>1434.35</v>
      </c>
      <c r="I24" s="11">
        <f>'Data'!I22</f>
        <v>1251.55</v>
      </c>
      <c r="J24" s="11">
        <f>'Data'!J22</f>
        <v>1249.6</v>
      </c>
      <c r="K24" s="11">
        <f>'Data'!K22</f>
        <v>1333.85</v>
      </c>
      <c r="L24" s="11">
        <f>'Data'!L22</f>
        <v>1440.3</v>
      </c>
      <c r="M24" s="11">
        <f>'Data'!M22</f>
        <v>2045.7</v>
      </c>
      <c r="N24" s="11">
        <f>'Data'!N22</f>
        <v>2556.55</v>
      </c>
      <c r="O24" s="10">
        <f>SUM(C24:N24)</f>
        <v>17934.9</v>
      </c>
    </row>
    <row r="25" spans="1:15">
      <c r="A25" s="22" t="s">
        <v>72</v>
      </c>
      <c r="C25" s="11">
        <f>'Data'!C23</f>
        <v>454.52</v>
      </c>
      <c r="D25" s="11">
        <f>'Data'!D23</f>
        <v>508.81</v>
      </c>
      <c r="E25" s="11">
        <f>'Data'!E23</f>
        <v>513.47</v>
      </c>
      <c r="F25" s="11">
        <f>'Data'!F23</f>
        <v>465.48</v>
      </c>
      <c r="G25" s="11">
        <f>'Data'!G23</f>
        <v>433.38</v>
      </c>
      <c r="H25" s="11">
        <f>'Data'!H23</f>
        <v>412.06</v>
      </c>
      <c r="I25" s="11">
        <f>'Data'!I23</f>
        <v>414.77</v>
      </c>
      <c r="J25" s="11">
        <f>'Data'!J23</f>
        <v>476.4</v>
      </c>
      <c r="K25" s="11">
        <f>'Data'!K23</f>
        <v>484.68</v>
      </c>
      <c r="L25" s="11">
        <f>'Data'!L23</f>
        <v>393.91</v>
      </c>
      <c r="M25" s="11">
        <f>'Data'!M23</f>
        <v>982.24</v>
      </c>
      <c r="N25" s="11">
        <f>'Data'!N23</f>
        <v>1214.34</v>
      </c>
      <c r="O25" s="10">
        <f>SUM(C25:N25)</f>
        <v>6754.06</v>
      </c>
    </row>
    <row r="26" spans="1:15">
      <c r="A26" s="22" t="s">
        <v>73</v>
      </c>
      <c r="C26" s="11">
        <f>'Data'!C24</f>
        <v>68.9</v>
      </c>
      <c r="D26" s="11">
        <f>'Data'!D24</f>
        <v>85.8</v>
      </c>
      <c r="E26" s="11">
        <f>'Data'!E24</f>
        <v>70.2</v>
      </c>
      <c r="F26" s="11">
        <f>'Data'!F24</f>
        <v>73.45</v>
      </c>
      <c r="G26" s="11">
        <f>'Data'!G24</f>
        <v>85.15</v>
      </c>
      <c r="H26" s="11">
        <f>'Data'!H24</f>
        <v>85.15</v>
      </c>
      <c r="I26" s="11">
        <f>'Data'!I24</f>
        <v>73.45</v>
      </c>
      <c r="J26" s="11">
        <f>'Data'!J24</f>
        <v>68.9</v>
      </c>
      <c r="K26" s="11">
        <f>'Data'!K24</f>
        <v>78.65</v>
      </c>
      <c r="L26" s="11">
        <f>'Data'!L24</f>
        <v>83.2</v>
      </c>
      <c r="M26" s="11">
        <f>'Data'!M24</f>
        <v>118.3</v>
      </c>
      <c r="N26" s="11">
        <f>'Data'!N24</f>
        <v>144.95</v>
      </c>
      <c r="O26" s="10">
        <f>SUM(C26:N26)</f>
        <v>1036.1</v>
      </c>
    </row>
    <row r="27" spans="1:15">
      <c r="A27" s="22" t="s">
        <v>74</v>
      </c>
      <c r="C27" s="11">
        <f>'Data'!C25</f>
        <v>75.2</v>
      </c>
      <c r="D27" s="11">
        <f>'Data'!D25</f>
        <v>75.2</v>
      </c>
      <c r="E27" s="11">
        <f>'Data'!E25</f>
        <v>97.2</v>
      </c>
      <c r="F27" s="11">
        <f>'Data'!F25</f>
        <v>75.2</v>
      </c>
      <c r="G27" s="11">
        <f>'Data'!G25</f>
        <v>75.2</v>
      </c>
      <c r="H27" s="11">
        <f>'Data'!H25</f>
        <v>75.2</v>
      </c>
      <c r="I27" s="11">
        <f>'Data'!I25</f>
        <v>75.2</v>
      </c>
      <c r="J27" s="11">
        <f>'Data'!J25</f>
        <v>75.2</v>
      </c>
      <c r="K27" s="11">
        <f>'Data'!K25</f>
        <v>75.2</v>
      </c>
      <c r="L27" s="11">
        <f>'Data'!L25</f>
        <v>75.2</v>
      </c>
      <c r="M27" s="11">
        <f>'Data'!M25</f>
        <v>75.2</v>
      </c>
      <c r="N27" s="11">
        <f>'Data'!N25</f>
        <v>75.2</v>
      </c>
      <c r="O27" s="10">
        <f>SUM(C27:N27)</f>
        <v>924.4</v>
      </c>
    </row>
    <row r="28" spans="1:15">
      <c r="A28" s="22" t="s">
        <v>75</v>
      </c>
      <c r="C28" s="11">
        <f>'Data'!C26</f>
        <v>0</v>
      </c>
      <c r="D28" s="11">
        <f>'Data'!D26</f>
        <v>0</v>
      </c>
      <c r="E28" s="11">
        <f>'Data'!E26</f>
        <v>950</v>
      </c>
      <c r="F28" s="11">
        <f>'Data'!F26</f>
        <v>0</v>
      </c>
      <c r="G28" s="11">
        <f>'Data'!G26</f>
        <v>0</v>
      </c>
      <c r="H28" s="11">
        <f>'Data'!H26</f>
        <v>20</v>
      </c>
      <c r="I28" s="11">
        <f>'Data'!I26</f>
        <v>0</v>
      </c>
      <c r="J28" s="11">
        <f>'Data'!J26</f>
        <v>0</v>
      </c>
      <c r="K28" s="11">
        <f>'Data'!K26</f>
        <v>0</v>
      </c>
      <c r="L28" s="11">
        <f>'Data'!L26</f>
        <v>0</v>
      </c>
      <c r="M28" s="11">
        <f>'Data'!M26</f>
        <v>0</v>
      </c>
      <c r="N28" s="11">
        <f>'Data'!N26</f>
        <v>0</v>
      </c>
      <c r="O28" s="10">
        <f>SUM(C28:N28)</f>
        <v>970</v>
      </c>
    </row>
    <row r="29" spans="1:15">
      <c r="A29" s="22" t="s">
        <v>76</v>
      </c>
      <c r="C29" s="11">
        <f>'Data'!C27</f>
        <v>110</v>
      </c>
      <c r="D29" s="11">
        <f>'Data'!D27</f>
        <v>0</v>
      </c>
      <c r="E29" s="11">
        <f>'Data'!E27</f>
        <v>0</v>
      </c>
      <c r="F29" s="11">
        <f>'Data'!F27</f>
        <v>800</v>
      </c>
      <c r="G29" s="11">
        <f>'Data'!G27</f>
        <v>0</v>
      </c>
      <c r="H29" s="11">
        <f>'Data'!H27</f>
        <v>0</v>
      </c>
      <c r="I29" s="11">
        <f>'Data'!I27</f>
        <v>0</v>
      </c>
      <c r="J29" s="11">
        <f>'Data'!J27</f>
        <v>0</v>
      </c>
      <c r="K29" s="11">
        <f>'Data'!K27</f>
        <v>0</v>
      </c>
      <c r="L29" s="11">
        <f>'Data'!L27</f>
        <v>0</v>
      </c>
      <c r="M29" s="11">
        <f>'Data'!M27</f>
        <v>0</v>
      </c>
      <c r="N29" s="11">
        <f>'Data'!N27</f>
        <v>0</v>
      </c>
      <c r="O29" s="10">
        <f>SUM(C29:N29)</f>
        <v>910</v>
      </c>
    </row>
    <row r="30" spans="1:15">
      <c r="A30" s="22" t="s">
        <v>77</v>
      </c>
      <c r="C30" s="11">
        <f>'Data'!C28</f>
        <v>67</v>
      </c>
      <c r="D30" s="11">
        <f>'Data'!D28</f>
        <v>103.43</v>
      </c>
      <c r="E30" s="11">
        <f>'Data'!E28</f>
        <v>67</v>
      </c>
      <c r="F30" s="11">
        <f>'Data'!F28</f>
        <v>67</v>
      </c>
      <c r="G30" s="11">
        <f>'Data'!G28</f>
        <v>125.73</v>
      </c>
      <c r="H30" s="11">
        <f>'Data'!H28</f>
        <v>67</v>
      </c>
      <c r="I30" s="11">
        <f>'Data'!I28</f>
        <v>67</v>
      </c>
      <c r="J30" s="11">
        <f>'Data'!J28</f>
        <v>119.34</v>
      </c>
      <c r="K30" s="11">
        <f>'Data'!K28</f>
        <v>67</v>
      </c>
      <c r="L30" s="11">
        <f>'Data'!L28</f>
        <v>67</v>
      </c>
      <c r="M30" s="11">
        <f>'Data'!M28</f>
        <v>118.77</v>
      </c>
      <c r="N30" s="11">
        <f>'Data'!N28</f>
        <v>67</v>
      </c>
      <c r="O30" s="10">
        <f>SUM(C30:N30)</f>
        <v>1003.27</v>
      </c>
    </row>
    <row r="31" spans="1:15">
      <c r="A31" s="22" t="s">
        <v>78</v>
      </c>
      <c r="C31" s="11">
        <f>'Schedules'!C10</f>
        <v>0</v>
      </c>
      <c r="D31" s="11">
        <f>'Schedules'!D10</f>
        <v>45.75</v>
      </c>
      <c r="E31" s="11">
        <f>'Schedules'!E10</f>
        <v>45.75</v>
      </c>
      <c r="F31" s="11">
        <f>'Schedules'!F10</f>
        <v>45.75</v>
      </c>
      <c r="G31" s="11">
        <f>'Schedules'!G10</f>
        <v>45.75</v>
      </c>
      <c r="H31" s="11">
        <f>'Schedules'!H10</f>
        <v>45.75</v>
      </c>
      <c r="I31" s="11">
        <f>'Schedules'!I10</f>
        <v>45.75</v>
      </c>
      <c r="J31" s="11">
        <f>'Schedules'!J10</f>
        <v>45.75</v>
      </c>
      <c r="K31" s="11">
        <f>'Schedules'!K10</f>
        <v>45.75</v>
      </c>
      <c r="L31" s="11">
        <f>'Schedules'!L10</f>
        <v>45.75</v>
      </c>
      <c r="M31" s="11">
        <f>'Schedules'!M10</f>
        <v>45.75</v>
      </c>
      <c r="N31" s="11">
        <f>'Schedules'!N10</f>
        <v>45.75</v>
      </c>
      <c r="O31" s="10">
        <f>SUM(C31:N31)</f>
        <v>503.25</v>
      </c>
    </row>
    <row r="32" spans="1:15">
      <c r="A32" s="24" t="s">
        <v>79</v>
      </c>
      <c r="C32" s="27">
        <f>SUM(C22:C31)</f>
        <v>3234.65</v>
      </c>
      <c r="D32" s="27">
        <f>SUM(D22:D31)</f>
        <v>4009.28</v>
      </c>
      <c r="E32" s="27">
        <f>SUM(E22:E31)</f>
        <v>4318.72</v>
      </c>
      <c r="F32" s="27">
        <f>SUM(F22:F31)</f>
        <v>4205.22</v>
      </c>
      <c r="G32" s="27">
        <f>SUM(G22:G31)</f>
        <v>3729.93</v>
      </c>
      <c r="H32" s="27">
        <f>SUM(H22:H31)</f>
        <v>3667.26</v>
      </c>
      <c r="I32" s="27">
        <f>SUM(I22:I31)</f>
        <v>3340.84</v>
      </c>
      <c r="J32" s="27">
        <f>SUM(J22:J31)</f>
        <v>3388.21</v>
      </c>
      <c r="K32" s="27">
        <f>SUM(K22:K31)</f>
        <v>3270.86</v>
      </c>
      <c r="L32" s="27">
        <f>SUM(L22:L31)</f>
        <v>3556.33</v>
      </c>
      <c r="M32" s="27">
        <f>SUM(M22:M31)</f>
        <v>5558.63</v>
      </c>
      <c r="N32" s="27">
        <f>SUM(N22:N31)</f>
        <v>6831.09</v>
      </c>
      <c r="O32" s="27">
        <f>SUM(C32:N32)</f>
        <v>49111.02</v>
      </c>
    </row>
    <row r="33" spans="1:15">
      <c r="A33" s="22"/>
      <c r="C33" s="10"/>
      <c r="D33" s="10"/>
      <c r="E33" s="10"/>
      <c r="F33" s="10"/>
      <c r="G33" s="10"/>
      <c r="H33" s="10"/>
      <c r="I33" s="10"/>
      <c r="J33" s="10"/>
      <c r="K33" s="10"/>
      <c r="L33" s="10"/>
      <c r="M33" s="10"/>
      <c r="N33" s="10"/>
      <c r="O33" s="10"/>
    </row>
    <row r="34" spans="1:15">
      <c r="A34" s="24" t="s">
        <v>80</v>
      </c>
      <c r="C34" s="27">
        <f>C18-C32</f>
        <v>856.990000000002</v>
      </c>
      <c r="D34" s="27">
        <f>D18-D32</f>
        <v>1211.45</v>
      </c>
      <c r="E34" s="27">
        <f>E18-E32</f>
        <v>84.5899999999992</v>
      </c>
      <c r="F34" s="27">
        <f>F18-F32</f>
        <v>245.7</v>
      </c>
      <c r="G34" s="27">
        <f>G18-G32</f>
        <v>1249.11</v>
      </c>
      <c r="H34" s="27">
        <f>H18-H32</f>
        <v>1477.77</v>
      </c>
      <c r="I34" s="27">
        <f>I18-I32</f>
        <v>968.17</v>
      </c>
      <c r="J34" s="27">
        <f>J18-J32</f>
        <v>845.62</v>
      </c>
      <c r="K34" s="27">
        <f>K18-K32</f>
        <v>1445.08</v>
      </c>
      <c r="L34" s="27">
        <f>L18-L32</f>
        <v>1441.17</v>
      </c>
      <c r="M34" s="27">
        <f>M18-M32</f>
        <v>1641.4</v>
      </c>
      <c r="N34" s="27">
        <f>N18-N32</f>
        <v>1747.85</v>
      </c>
      <c r="O34" s="27">
        <f>SUM(C34:N34)</f>
        <v>13214.9</v>
      </c>
    </row>
    <row r="35" spans="1:15">
      <c r="A35" s="37" t="s">
        <v>197</v>
      </c>
      <c r="C35" s="39">
        <f>IFERROR(C34/C11,0)</f>
        <v>0.0629344233281611</v>
      </c>
      <c r="D35" s="39">
        <f>IFERROR(D34/D11,0)</f>
        <v>0.0696783047371123</v>
      </c>
      <c r="E35" s="39">
        <f>IFERROR(E34/E11,0)</f>
        <v>0.00556917655981708</v>
      </c>
      <c r="F35" s="39">
        <f>IFERROR(F34/F11,0)</f>
        <v>0.0168870970069906</v>
      </c>
      <c r="G35" s="39">
        <f>IFERROR(G34/G11,0)</f>
        <v>0.0773965570549517</v>
      </c>
      <c r="H35" s="39">
        <f>IFERROR(H34/H11,0)</f>
        <v>0.087125575867058</v>
      </c>
      <c r="I35" s="39">
        <f>IFERROR(I34/I11,0)</f>
        <v>0.0707488192940829</v>
      </c>
      <c r="J35" s="39">
        <f>IFERROR(J34/J11,0)</f>
        <v>0.0593970666016705</v>
      </c>
      <c r="K35" s="39">
        <f>IFERROR(K34/K11,0)</f>
        <v>0.100235210229113</v>
      </c>
      <c r="L35" s="39">
        <f>IFERROR(L34/L11,0)</f>
        <v>0.0923664097675089</v>
      </c>
      <c r="M35" s="39">
        <f>IFERROR(M34/M11,0)</f>
        <v>0.0680231230545507</v>
      </c>
      <c r="N35" s="39">
        <f>IFERROR(N34/N11,0)</f>
        <v>0.0651680944228026</v>
      </c>
      <c r="O35" s="39">
        <f>IFERROR(O34/O11,0)</f>
        <v>0.0651833876844737</v>
      </c>
    </row>
    <row r="36" spans="1:15">
      <c r="A36" s="22"/>
      <c r="C36" s="10"/>
      <c r="D36" s="10"/>
      <c r="E36" s="10"/>
      <c r="F36" s="10"/>
      <c r="G36" s="10"/>
      <c r="H36" s="10"/>
      <c r="I36" s="10"/>
      <c r="J36" s="10"/>
      <c r="K36" s="10"/>
      <c r="L36" s="10"/>
      <c r="M36" s="10"/>
      <c r="N36" s="10"/>
      <c r="O36" s="10"/>
    </row>
    <row r="37" spans="1:15">
      <c r="A37" s="28" t="s">
        <v>81</v>
      </c>
      <c r="C37" s="33">
        <f>C34</f>
        <v>856.990000000002</v>
      </c>
      <c r="D37" s="33">
        <f>D34</f>
        <v>1211.45</v>
      </c>
      <c r="E37" s="33">
        <f>E34</f>
        <v>84.5899999999992</v>
      </c>
      <c r="F37" s="33">
        <f>F34</f>
        <v>245.7</v>
      </c>
      <c r="G37" s="33">
        <f>G34</f>
        <v>1249.11</v>
      </c>
      <c r="H37" s="33">
        <f>H34</f>
        <v>1477.77</v>
      </c>
      <c r="I37" s="33">
        <f>I34</f>
        <v>968.17</v>
      </c>
      <c r="J37" s="33">
        <f>J34</f>
        <v>845.62</v>
      </c>
      <c r="K37" s="33">
        <f>K34</f>
        <v>1445.08</v>
      </c>
      <c r="L37" s="33">
        <f>L34</f>
        <v>1441.17</v>
      </c>
      <c r="M37" s="33">
        <f>M34</f>
        <v>1641.4</v>
      </c>
      <c r="N37" s="33">
        <f>N34</f>
        <v>1747.85</v>
      </c>
      <c r="O37" s="33">
        <f>SUM(C37:N37)</f>
        <v>13214.9</v>
      </c>
    </row>
    <row r="38" spans="1:15">
      <c r="A38" s="37" t="s">
        <v>179</v>
      </c>
      <c r="C38" s="39">
        <f>IFERROR(C37/C11,0)</f>
        <v>0.0629344233281611</v>
      </c>
      <c r="D38" s="39">
        <f>IFERROR(D37/D11,0)</f>
        <v>0.0696783047371123</v>
      </c>
      <c r="E38" s="39">
        <f>IFERROR(E37/E11,0)</f>
        <v>0.00556917655981708</v>
      </c>
      <c r="F38" s="39">
        <f>IFERROR(F37/F11,0)</f>
        <v>0.0168870970069906</v>
      </c>
      <c r="G38" s="39">
        <f>IFERROR(G37/G11,0)</f>
        <v>0.0773965570549517</v>
      </c>
      <c r="H38" s="39">
        <f>IFERROR(H37/H11,0)</f>
        <v>0.087125575867058</v>
      </c>
      <c r="I38" s="39">
        <f>IFERROR(I37/I11,0)</f>
        <v>0.0707488192940829</v>
      </c>
      <c r="J38" s="39">
        <f>IFERROR(J37/J11,0)</f>
        <v>0.0593970666016705</v>
      </c>
      <c r="K38" s="39">
        <f>IFERROR(K37/K11,0)</f>
        <v>0.100235210229113</v>
      </c>
      <c r="L38" s="39">
        <f>IFERROR(L37/L11,0)</f>
        <v>0.0923664097675089</v>
      </c>
      <c r="M38" s="39">
        <f>IFERROR(M37/M11,0)</f>
        <v>0.0680231230545507</v>
      </c>
      <c r="N38" s="39">
        <f>IFERROR(N37/N11,0)</f>
        <v>0.0651680944228026</v>
      </c>
      <c r="O38" s="39">
        <f>IFERROR(O37/O11,0)</f>
        <v>0.0651833876844737</v>
      </c>
    </row>
    <row r="39" spans="1:15">
      <c r="A39" s="22"/>
      <c r="C39" s="10"/>
      <c r="D39" s="10"/>
      <c r="E39" s="10"/>
      <c r="F39" s="10"/>
      <c r="G39" s="10"/>
      <c r="H39" s="10"/>
      <c r="I39" s="10"/>
      <c r="J39" s="10"/>
      <c r="K39" s="10"/>
      <c r="L39" s="10"/>
      <c r="M39" s="10"/>
      <c r="N39" s="10"/>
      <c r="O39" s="10"/>
    </row>
    <row r="40" spans="1:15">
      <c r="A40" s="20" t="s">
        <v>267</v>
      </c>
      <c r="C40" s="10"/>
      <c r="D40" s="10"/>
      <c r="E40" s="10"/>
      <c r="F40" s="10"/>
      <c r="G40" s="10"/>
      <c r="H40" s="10"/>
      <c r="I40" s="10"/>
      <c r="J40" s="10"/>
      <c r="K40" s="10"/>
      <c r="L40" s="10"/>
      <c r="M40" s="10"/>
      <c r="N40" s="10"/>
      <c r="O40" s="10"/>
    </row>
    <row r="41" spans="1:15">
      <c r="A41" s="37" t="s">
        <v>268</v>
      </c>
      <c r="C41" s="47">
        <f>C34+C31</f>
        <v>856.990000000002</v>
      </c>
      <c r="D41" s="47">
        <f>D34+D31</f>
        <v>1257.2</v>
      </c>
      <c r="E41" s="47">
        <f>E34+E31</f>
        <v>130.339999999999</v>
      </c>
      <c r="F41" s="47">
        <f>F34+F31</f>
        <v>291.45</v>
      </c>
      <c r="G41" s="47">
        <f>G34+G31</f>
        <v>1294.86</v>
      </c>
      <c r="H41" s="47">
        <f>H34+H31</f>
        <v>1523.52</v>
      </c>
      <c r="I41" s="47">
        <f>I34+I31</f>
        <v>1013.92</v>
      </c>
      <c r="J41" s="47">
        <f>J34+J31</f>
        <v>891.37</v>
      </c>
      <c r="K41" s="47">
        <f>K34+K31</f>
        <v>1490.83</v>
      </c>
      <c r="L41" s="47">
        <f>L34+L31</f>
        <v>1486.92</v>
      </c>
      <c r="M41" s="47">
        <f>M34+M31</f>
        <v>1687.15</v>
      </c>
      <c r="N41" s="47">
        <f>N34+N31</f>
        <v>1793.6</v>
      </c>
      <c r="O41" s="47">
        <f>SUM(C41:N41)</f>
        <v>13718.15</v>
      </c>
    </row>
    <row r="42" spans="1:15">
      <c r="A42" s="37" t="s">
        <v>269</v>
      </c>
      <c r="C42" s="47">
        <f>C16+C32-C31</f>
        <v>12760.2</v>
      </c>
      <c r="D42" s="47">
        <f>D16+D32-D31</f>
        <v>16129.13</v>
      </c>
      <c r="E42" s="47">
        <f>E16+E32-E31</f>
        <v>15058.62</v>
      </c>
      <c r="F42" s="47">
        <f>F16+F32-F31</f>
        <v>14258.12</v>
      </c>
      <c r="G42" s="47">
        <f>G16+G32-G31</f>
        <v>14844.23</v>
      </c>
      <c r="H42" s="47">
        <f>H16+H32-H31</f>
        <v>15437.86</v>
      </c>
      <c r="I42" s="47">
        <f>I16+I32-I31</f>
        <v>12670.69</v>
      </c>
      <c r="J42" s="47">
        <f>J16+J32-J31</f>
        <v>13345.36</v>
      </c>
      <c r="K42" s="47">
        <f>K16+K32-K31</f>
        <v>12926.06</v>
      </c>
      <c r="L42" s="47">
        <f>L16+L32-L31</f>
        <v>14115.83</v>
      </c>
      <c r="M42" s="47">
        <f>M16+M32-M31</f>
        <v>22442.88</v>
      </c>
      <c r="N42" s="47">
        <f>N16+N32-N31</f>
        <v>25027.04</v>
      </c>
      <c r="O42" s="47">
        <f>SUM(C42:N42)</f>
        <v>189016.02</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12.xml><?xml version="1.0" encoding="utf-8"?>
<worksheet xmlns="http://schemas.openxmlformats.org/spreadsheetml/2006/main" xmlns:r="http://schemas.openxmlformats.org/officeDocument/2006/relationships">
  <sheetPr>
    <tabColor rgb="FF7F7F7F"/>
    <pageSetUpPr fitToPage="1"/>
  </sheetPr>
  <dimension ref="A1:N2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0.7109375" customWidth="1"/>
    <col min="3" max="14" width="10.28515625" customWidth="1"/>
    <col min="15" max="15" width="11.7109375" customWidth="1"/>
  </cols>
  <sheetData>
    <row r="1" spans="1:14">
      <c r="A1" s="15" t="s">
        <v>270</v>
      </c>
    </row>
    <row r="2" spans="1:14">
      <c r="A2" s="17" t="s">
        <v>271</v>
      </c>
    </row>
    <row r="3" spans="1:14">
      <c r="A3" s="18" t="s">
        <v>140</v>
      </c>
    </row>
    <row r="4" spans="1:14">
      <c r="A4" s="6" t="s">
        <v>58</v>
      </c>
      <c r="B4" s="31" t="s">
        <v>272</v>
      </c>
      <c r="C4" s="36">
        <v>45688</v>
      </c>
      <c r="D4" s="36">
        <v>45716</v>
      </c>
      <c r="E4" s="36">
        <v>45747</v>
      </c>
      <c r="F4" s="36">
        <v>45777</v>
      </c>
      <c r="G4" s="36">
        <v>45808</v>
      </c>
      <c r="H4" s="36">
        <v>45838</v>
      </c>
      <c r="I4" s="36">
        <v>45869</v>
      </c>
      <c r="J4" s="36">
        <v>45900</v>
      </c>
      <c r="K4" s="36">
        <v>45930</v>
      </c>
      <c r="L4" s="36">
        <v>45961</v>
      </c>
      <c r="M4" s="36">
        <v>45991</v>
      </c>
      <c r="N4" s="36">
        <v>46022</v>
      </c>
    </row>
    <row r="5" spans="1:14">
      <c r="A5" s="20" t="s">
        <v>87</v>
      </c>
      <c r="B5" s="10"/>
      <c r="C5" s="10"/>
      <c r="D5" s="10"/>
      <c r="E5" s="10"/>
      <c r="F5" s="10"/>
      <c r="G5" s="10"/>
      <c r="H5" s="10"/>
      <c r="I5" s="10"/>
      <c r="J5" s="10"/>
      <c r="K5" s="10"/>
      <c r="L5" s="10"/>
      <c r="M5" s="10"/>
      <c r="N5" s="10"/>
    </row>
    <row r="6" spans="1:14">
      <c r="A6" s="22" t="s">
        <v>89</v>
      </c>
      <c r="B6" s="11">
        <f>'Assumptions'!$B$10</f>
        <v>9000</v>
      </c>
      <c r="C6" s="11">
        <f>'Monthly CF'!C26</f>
        <v>4682.3970967742</v>
      </c>
      <c r="D6" s="11">
        <f>'Monthly CF'!D26</f>
        <v>7248.32035714286</v>
      </c>
      <c r="E6" s="11">
        <f>'Monthly CF'!E26</f>
        <v>6364.42225806452</v>
      </c>
      <c r="F6" s="11">
        <f>'Monthly CF'!F26</f>
        <v>5931.663</v>
      </c>
      <c r="G6" s="11">
        <f>'Monthly CF'!G26</f>
        <v>7390.64903225806</v>
      </c>
      <c r="H6" s="11">
        <f>'Monthly CF'!H26</f>
        <v>6928.552</v>
      </c>
      <c r="I6" s="11">
        <f>'Monthly CF'!I26</f>
        <v>6234.89677419355</v>
      </c>
      <c r="J6" s="11">
        <f>'Monthly CF'!J26</f>
        <v>7184.95451612903</v>
      </c>
      <c r="K6" s="11">
        <f>'Monthly CF'!K26</f>
        <v>8506.081</v>
      </c>
      <c r="L6" s="11">
        <f>'Monthly CF'!L26</f>
        <v>6636.83612903226</v>
      </c>
      <c r="M6" s="11">
        <f>'Monthly CF'!M26</f>
        <v>10936.747</v>
      </c>
      <c r="N6" s="11">
        <f>'Monthly CF'!N26</f>
        <v>13286.1690322581</v>
      </c>
    </row>
    <row r="7" spans="1:14">
      <c r="A7" s="22" t="s">
        <v>90</v>
      </c>
      <c r="B7" s="11">
        <f>'Schedules'!B21</f>
        <v>2374</v>
      </c>
      <c r="C7" s="11">
        <f>'Schedules'!C21</f>
        <v>1317.79258064516</v>
      </c>
      <c r="D7" s="11">
        <f>'Schedules'!D21</f>
        <v>1862.82107142857</v>
      </c>
      <c r="E7" s="11">
        <f>'Schedules'!E21</f>
        <v>1469.89935483871</v>
      </c>
      <c r="F7" s="11">
        <f>'Schedules'!F21</f>
        <v>1454.957</v>
      </c>
      <c r="G7" s="11">
        <f>'Schedules'!G21</f>
        <v>1561.84741935484</v>
      </c>
      <c r="H7" s="11">
        <f>'Schedules'!H21</f>
        <v>1696.138</v>
      </c>
      <c r="I7" s="11">
        <f>'Schedules'!I21</f>
        <v>1324.31709677419</v>
      </c>
      <c r="J7" s="11">
        <f>'Schedules'!J21</f>
        <v>1377.74806451613</v>
      </c>
      <c r="K7" s="11">
        <f>'Schedules'!K21</f>
        <v>1441.689</v>
      </c>
      <c r="L7" s="11">
        <f>'Schedules'!L21</f>
        <v>1509.9435483871</v>
      </c>
      <c r="M7" s="11">
        <f>'Schedules'!M21</f>
        <v>2413.003</v>
      </c>
      <c r="N7" s="11">
        <f>'Schedules'!N21</f>
        <v>2595.54580645161</v>
      </c>
    </row>
    <row r="8" spans="1:14">
      <c r="A8" s="22" t="s">
        <v>91</v>
      </c>
      <c r="B8" s="11">
        <f>'Schedules'!B18</f>
        <v>700</v>
      </c>
      <c r="C8" s="11">
        <f>'Schedules'!C18</f>
        <v>275.45</v>
      </c>
      <c r="D8" s="11">
        <f>'Schedules'!D18</f>
        <v>2166.85</v>
      </c>
      <c r="E8" s="11">
        <f>'Schedules'!E18</f>
        <v>1738.2</v>
      </c>
      <c r="F8" s="11">
        <f>'Schedules'!F18</f>
        <v>1287.55</v>
      </c>
      <c r="G8" s="11">
        <f>'Schedules'!G18</f>
        <v>772.5</v>
      </c>
      <c r="H8" s="11">
        <f>'Schedules'!H18</f>
        <v>2564.15</v>
      </c>
      <c r="I8" s="11">
        <f>'Schedules'!I18</f>
        <v>2117.55</v>
      </c>
      <c r="J8" s="11">
        <f>'Schedules'!J18</f>
        <v>1704.65</v>
      </c>
      <c r="K8" s="11">
        <f>'Schedules'!K18</f>
        <v>1204.7</v>
      </c>
      <c r="L8" s="11">
        <f>'Schedules'!L18</f>
        <v>3861.45</v>
      </c>
      <c r="M8" s="11">
        <f>'Schedules'!M18</f>
        <v>3132.45</v>
      </c>
      <c r="N8" s="11">
        <f>'Schedules'!N18</f>
        <v>2197.75</v>
      </c>
    </row>
    <row r="9" spans="1:14">
      <c r="A9" s="24" t="s">
        <v>92</v>
      </c>
      <c r="B9" s="27">
        <f>SUM(B6:B8)</f>
        <v>12074</v>
      </c>
      <c r="C9" s="27">
        <f>SUM(C6:C8)</f>
        <v>6275.63967741936</v>
      </c>
      <c r="D9" s="27">
        <f>SUM(D6:D8)</f>
        <v>11277.9914285714</v>
      </c>
      <c r="E9" s="27">
        <f>SUM(E6:E8)</f>
        <v>9572.52161290322</v>
      </c>
      <c r="F9" s="27">
        <f>SUM(F6:F8)</f>
        <v>8674.17</v>
      </c>
      <c r="G9" s="27">
        <f>SUM(G6:G8)</f>
        <v>9724.9964516129</v>
      </c>
      <c r="H9" s="27">
        <f>SUM(H6:H8)</f>
        <v>11188.84</v>
      </c>
      <c r="I9" s="27">
        <f>SUM(I6:I8)</f>
        <v>9676.76387096774</v>
      </c>
      <c r="J9" s="27">
        <f>SUM(J6:J8)</f>
        <v>10267.3525806452</v>
      </c>
      <c r="K9" s="27">
        <f>SUM(K6:K8)</f>
        <v>11152.47</v>
      </c>
      <c r="L9" s="27">
        <f>SUM(L6:L8)</f>
        <v>12008.2296774194</v>
      </c>
      <c r="M9" s="27">
        <f>SUM(M6:M8)</f>
        <v>16482.2</v>
      </c>
      <c r="N9" s="27">
        <f>SUM(N6:N8)</f>
        <v>18079.4648387097</v>
      </c>
    </row>
    <row r="10" spans="1:14">
      <c r="A10" s="22" t="s">
        <v>273</v>
      </c>
      <c r="B10" s="11">
        <f>'Schedules'!B12</f>
        <v>0</v>
      </c>
      <c r="C10" s="11">
        <f>'Schedules'!C12</f>
        <v>1647</v>
      </c>
      <c r="D10" s="11">
        <f>'Schedules'!D12</f>
        <v>1601.25</v>
      </c>
      <c r="E10" s="11">
        <f>'Schedules'!E12</f>
        <v>1555.5</v>
      </c>
      <c r="F10" s="11">
        <f>'Schedules'!F12</f>
        <v>1509.75</v>
      </c>
      <c r="G10" s="11">
        <f>'Schedules'!G12</f>
        <v>1464</v>
      </c>
      <c r="H10" s="11">
        <f>'Schedules'!H12</f>
        <v>1418.25</v>
      </c>
      <c r="I10" s="11">
        <f>'Schedules'!I12</f>
        <v>1372.5</v>
      </c>
      <c r="J10" s="11">
        <f>'Schedules'!J12</f>
        <v>1326.75</v>
      </c>
      <c r="K10" s="11">
        <f>'Schedules'!K12</f>
        <v>1281</v>
      </c>
      <c r="L10" s="11">
        <f>'Schedules'!L12</f>
        <v>1235.25</v>
      </c>
      <c r="M10" s="11">
        <f>'Schedules'!M12</f>
        <v>1189.5</v>
      </c>
      <c r="N10" s="11">
        <f>'Schedules'!N12</f>
        <v>1143.75</v>
      </c>
    </row>
    <row r="11" spans="1:14">
      <c r="A11" s="28" t="s">
        <v>94</v>
      </c>
      <c r="B11" s="33">
        <f>B9+B10</f>
        <v>12074</v>
      </c>
      <c r="C11" s="33">
        <f>C9+C10</f>
        <v>7922.63967741936</v>
      </c>
      <c r="D11" s="33">
        <f>D9+D10</f>
        <v>12879.2414285714</v>
      </c>
      <c r="E11" s="33">
        <f>E9+E10</f>
        <v>11128.0216129032</v>
      </c>
      <c r="F11" s="33">
        <f>F9+F10</f>
        <v>10183.92</v>
      </c>
      <c r="G11" s="33">
        <f>G9+G10</f>
        <v>11188.9964516129</v>
      </c>
      <c r="H11" s="33">
        <f>H9+H10</f>
        <v>12607.09</v>
      </c>
      <c r="I11" s="33">
        <f>I9+I10</f>
        <v>11049.2638709677</v>
      </c>
      <c r="J11" s="33">
        <f>J9+J10</f>
        <v>11594.1025806452</v>
      </c>
      <c r="K11" s="33">
        <f>K9+K10</f>
        <v>12433.47</v>
      </c>
      <c r="L11" s="33">
        <f>L9+L10</f>
        <v>13243.4796774194</v>
      </c>
      <c r="M11" s="33">
        <f>M9+M10</f>
        <v>17671.7</v>
      </c>
      <c r="N11" s="33">
        <f>N9+N10</f>
        <v>19223.2148387097</v>
      </c>
    </row>
    <row r="12" spans="1:14">
      <c r="A12" s="22"/>
      <c r="B12" s="10"/>
      <c r="C12" s="10"/>
      <c r="D12" s="10"/>
      <c r="E12" s="10"/>
      <c r="F12" s="10"/>
      <c r="G12" s="10"/>
      <c r="H12" s="10"/>
      <c r="I12" s="10"/>
      <c r="J12" s="10"/>
      <c r="K12" s="10"/>
      <c r="L12" s="10"/>
      <c r="M12" s="10"/>
      <c r="N12" s="10"/>
    </row>
    <row r="13" spans="1:14">
      <c r="A13" s="20" t="s">
        <v>95</v>
      </c>
      <c r="B13" s="10"/>
      <c r="C13" s="10"/>
      <c r="D13" s="10"/>
      <c r="E13" s="10"/>
      <c r="F13" s="10"/>
      <c r="G13" s="10"/>
      <c r="H13" s="10"/>
      <c r="I13" s="10"/>
      <c r="J13" s="10"/>
      <c r="K13" s="10"/>
      <c r="L13" s="10"/>
      <c r="M13" s="10"/>
      <c r="N13" s="10"/>
    </row>
    <row r="14" spans="1:14">
      <c r="A14" s="22" t="s">
        <v>97</v>
      </c>
      <c r="B14" s="11">
        <f>'Schedules'!B22</f>
        <v>8019</v>
      </c>
      <c r="C14" s="11">
        <f>'Schedules'!C22</f>
        <v>4403.70967741936</v>
      </c>
      <c r="D14" s="11">
        <f>'Schedules'!D22</f>
        <v>6244.82142857143</v>
      </c>
      <c r="E14" s="11">
        <f>'Schedules'!E22</f>
        <v>5011.45161290323</v>
      </c>
      <c r="F14" s="11">
        <f>'Schedules'!F22</f>
        <v>4824</v>
      </c>
      <c r="G14" s="11">
        <f>'Schedules'!G22</f>
        <v>5150.8064516129</v>
      </c>
      <c r="H14" s="11">
        <f>'Schedules'!H22</f>
        <v>5654</v>
      </c>
      <c r="I14" s="11">
        <f>'Schedules'!I22</f>
        <v>4320.48387096774</v>
      </c>
      <c r="J14" s="11">
        <f>'Schedules'!J22</f>
        <v>4640.32258064516</v>
      </c>
      <c r="K14" s="11">
        <f>'Schedules'!K22</f>
        <v>4600.5</v>
      </c>
      <c r="L14" s="11">
        <f>'Schedules'!L22</f>
        <v>4868.70967741936</v>
      </c>
      <c r="M14" s="11">
        <f>'Schedules'!M22</f>
        <v>8100.5</v>
      </c>
      <c r="N14" s="11">
        <f>'Schedules'!N22</f>
        <v>8374.35483870968</v>
      </c>
    </row>
    <row r="15" spans="1:14">
      <c r="A15" s="22" t="s">
        <v>98</v>
      </c>
      <c r="B15" s="11">
        <f>'Schedules'!B28</f>
        <v>708</v>
      </c>
      <c r="C15" s="11">
        <f>'Schedules'!C28</f>
        <v>64.94</v>
      </c>
      <c r="D15" s="11">
        <f>'Schedules'!D28</f>
        <v>218.98</v>
      </c>
      <c r="E15" s="11">
        <f>'Schedules'!E28</f>
        <v>366.54</v>
      </c>
      <c r="F15" s="11">
        <f>'Schedules'!F28</f>
        <v>114.19</v>
      </c>
      <c r="G15" s="11">
        <f>'Schedules'!G28</f>
        <v>293.35</v>
      </c>
      <c r="H15" s="11">
        <f>'Schedules'!H28</f>
        <v>480.48</v>
      </c>
      <c r="I15" s="11">
        <f>'Schedules'!I28</f>
        <v>37.9999999999999</v>
      </c>
      <c r="J15" s="11">
        <f>'Schedules'!J28</f>
        <v>167.38</v>
      </c>
      <c r="K15" s="11">
        <f>'Schedules'!K28</f>
        <v>351.49</v>
      </c>
      <c r="L15" s="11">
        <f>'Schedules'!L28</f>
        <v>202.12</v>
      </c>
      <c r="M15" s="11">
        <f>'Schedules'!M28</f>
        <v>507.15</v>
      </c>
      <c r="N15" s="11">
        <f>'Schedules'!N28</f>
        <v>786.96</v>
      </c>
    </row>
    <row r="16" spans="1:14">
      <c r="A16" s="24" t="s">
        <v>99</v>
      </c>
      <c r="B16" s="27">
        <f>B14+B15</f>
        <v>8727</v>
      </c>
      <c r="C16" s="27">
        <f>C14+C15</f>
        <v>4468.64967741936</v>
      </c>
      <c r="D16" s="27">
        <f>D14+D15</f>
        <v>6463.80142857143</v>
      </c>
      <c r="E16" s="27">
        <f>E14+E15</f>
        <v>5377.99161290323</v>
      </c>
      <c r="F16" s="27">
        <f>F14+F15</f>
        <v>4938.19</v>
      </c>
      <c r="G16" s="27">
        <f>G14+G15</f>
        <v>5444.1564516129</v>
      </c>
      <c r="H16" s="27">
        <f>H14+H15</f>
        <v>6134.48</v>
      </c>
      <c r="I16" s="27">
        <f>I14+I15</f>
        <v>4358.48387096774</v>
      </c>
      <c r="J16" s="27">
        <f>J14+J15</f>
        <v>4807.70258064516</v>
      </c>
      <c r="K16" s="27">
        <f>K14+K15</f>
        <v>4951.99</v>
      </c>
      <c r="L16" s="27">
        <f>L14+L15</f>
        <v>5070.82967741936</v>
      </c>
      <c r="M16" s="27">
        <f>M14+M15</f>
        <v>8607.65</v>
      </c>
      <c r="N16" s="27">
        <f>N14+N15</f>
        <v>9161.31483870968</v>
      </c>
    </row>
    <row r="17" spans="1:14">
      <c r="A17" s="22" t="s">
        <v>100</v>
      </c>
      <c r="B17" s="11">
        <f>'Schedules'!B35</f>
        <v>3347</v>
      </c>
      <c r="C17" s="11">
        <f>'Schedules'!C35</f>
        <v>3453.99</v>
      </c>
      <c r="D17" s="11">
        <f>'Schedules'!D35</f>
        <v>6415.44</v>
      </c>
      <c r="E17" s="11">
        <f>'Schedules'!E35</f>
        <v>5750.03</v>
      </c>
      <c r="F17" s="11">
        <f>'Schedules'!F35</f>
        <v>5245.73</v>
      </c>
      <c r="G17" s="11">
        <f>'Schedules'!G35</f>
        <v>5744.84</v>
      </c>
      <c r="H17" s="11">
        <f>'Schedules'!H35</f>
        <v>6472.61</v>
      </c>
      <c r="I17" s="11">
        <f>'Schedules'!I35</f>
        <v>6690.78</v>
      </c>
      <c r="J17" s="11">
        <f>'Schedules'!J35</f>
        <v>6786.4</v>
      </c>
      <c r="K17" s="11">
        <f>'Schedules'!K35</f>
        <v>7481.48</v>
      </c>
      <c r="L17" s="11">
        <f>'Schedules'!L35</f>
        <v>8172.65</v>
      </c>
      <c r="M17" s="11">
        <f>'Schedules'!M35</f>
        <v>9064.05</v>
      </c>
      <c r="N17" s="11">
        <f>'Schedules'!N35</f>
        <v>10061.9</v>
      </c>
    </row>
    <row r="18" spans="1:14">
      <c r="A18" s="28" t="s">
        <v>101</v>
      </c>
      <c r="B18" s="33">
        <f>B16+B17</f>
        <v>12074</v>
      </c>
      <c r="C18" s="33">
        <f>C16+C17</f>
        <v>7922.63967741936</v>
      </c>
      <c r="D18" s="33">
        <f>D16+D17</f>
        <v>12879.2414285714</v>
      </c>
      <c r="E18" s="33">
        <f>E16+E17</f>
        <v>11128.0216129032</v>
      </c>
      <c r="F18" s="33">
        <f>F16+F17</f>
        <v>10183.92</v>
      </c>
      <c r="G18" s="33">
        <f>G16+G17</f>
        <v>11188.9964516129</v>
      </c>
      <c r="H18" s="33">
        <f>H16+H17</f>
        <v>12607.09</v>
      </c>
      <c r="I18" s="33">
        <f>I16+I17</f>
        <v>11049.2638709677</v>
      </c>
      <c r="J18" s="33">
        <f>J16+J17</f>
        <v>11594.1025806452</v>
      </c>
      <c r="K18" s="33">
        <f>K16+K17</f>
        <v>12433.47</v>
      </c>
      <c r="L18" s="33">
        <f>L16+L17</f>
        <v>13243.4796774194</v>
      </c>
      <c r="M18" s="33">
        <f>M16+M17</f>
        <v>17671.7</v>
      </c>
      <c r="N18" s="33">
        <f>N16+N17</f>
        <v>19223.2148387097</v>
      </c>
    </row>
    <row r="19" spans="1:14">
      <c r="A19" s="22"/>
      <c r="B19" s="10"/>
      <c r="C19" s="10"/>
      <c r="D19" s="10"/>
      <c r="E19" s="10"/>
      <c r="F19" s="10"/>
      <c r="G19" s="10"/>
      <c r="H19" s="10"/>
      <c r="I19" s="10"/>
      <c r="J19" s="10"/>
      <c r="K19" s="10"/>
      <c r="L19" s="10"/>
      <c r="M19" s="10"/>
      <c r="N19" s="10"/>
    </row>
    <row r="20" spans="1:14">
      <c r="A20" s="37" t="s">
        <v>274</v>
      </c>
      <c r="B20" s="47">
        <f>ROUND(B11-B18,2)</f>
        <v>0</v>
      </c>
      <c r="C20" s="47">
        <f>ROUND(C11-C18,2)</f>
        <v>0</v>
      </c>
      <c r="D20" s="47">
        <f>ROUND(D11-D18,2)</f>
        <v>0</v>
      </c>
      <c r="E20" s="47">
        <f>ROUND(E11-E18,2)</f>
        <v>0</v>
      </c>
      <c r="F20" s="47">
        <f>ROUND(F11-F18,2)</f>
        <v>0</v>
      </c>
      <c r="G20" s="47">
        <f>ROUND(G11-G18,2)</f>
        <v>0</v>
      </c>
      <c r="H20" s="47">
        <f>ROUND(H11-H18,2)</f>
        <v>0</v>
      </c>
      <c r="I20" s="47">
        <f>ROUND(I11-I18,2)</f>
        <v>0</v>
      </c>
      <c r="J20" s="47">
        <f>ROUND(J11-J18,2)</f>
        <v>0</v>
      </c>
      <c r="K20" s="47">
        <f>ROUND(K11-K18,2)</f>
        <v>0</v>
      </c>
      <c r="L20" s="47">
        <f>ROUND(L11-L18,2)</f>
        <v>0</v>
      </c>
      <c r="M20" s="47">
        <f>ROUND(M11-M18,2)</f>
        <v>0</v>
      </c>
      <c r="N20" s="47">
        <f>ROUND(N11-N18,2)</f>
        <v>0</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13.xml><?xml version="1.0" encoding="utf-8"?>
<worksheet xmlns="http://schemas.openxmlformats.org/spreadsheetml/2006/main" xmlns:r="http://schemas.openxmlformats.org/officeDocument/2006/relationships">
  <sheetPr>
    <tabColor rgb="FF7F7F7F"/>
    <pageSetUpPr fitToPage="1"/>
  </sheetPr>
  <dimension ref="A1:O26"/>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7109375" hidden="1" customWidth="1"/>
    <col min="3" max="14" width="10.28515625" customWidth="1"/>
    <col min="15" max="15" width="11.7109375" customWidth="1"/>
  </cols>
  <sheetData>
    <row r="1" spans="1:15">
      <c r="A1" s="15" t="s">
        <v>275</v>
      </c>
    </row>
    <row r="2" spans="1:15">
      <c r="A2" s="17" t="s">
        <v>276</v>
      </c>
    </row>
    <row r="3" spans="1:15">
      <c r="A3" s="18" t="s">
        <v>140</v>
      </c>
    </row>
    <row r="4" spans="1:15">
      <c r="A4" s="6" t="s">
        <v>58</v>
      </c>
      <c r="C4" s="36">
        <v>45688</v>
      </c>
      <c r="D4" s="36">
        <v>45716</v>
      </c>
      <c r="E4" s="36">
        <v>45747</v>
      </c>
      <c r="F4" s="36">
        <v>45777</v>
      </c>
      <c r="G4" s="36">
        <v>45808</v>
      </c>
      <c r="H4" s="36">
        <v>45838</v>
      </c>
      <c r="I4" s="36">
        <v>45869</v>
      </c>
      <c r="J4" s="36">
        <v>45900</v>
      </c>
      <c r="K4" s="36">
        <v>45930</v>
      </c>
      <c r="L4" s="36">
        <v>45961</v>
      </c>
      <c r="M4" s="36">
        <v>45991</v>
      </c>
      <c r="N4" s="36">
        <v>46022</v>
      </c>
      <c r="O4" s="31" t="s">
        <v>165</v>
      </c>
    </row>
    <row r="5" spans="1:15">
      <c r="A5" s="20" t="s">
        <v>277</v>
      </c>
      <c r="C5" s="10"/>
      <c r="D5" s="10"/>
      <c r="E5" s="10"/>
      <c r="F5" s="10"/>
      <c r="G5" s="10"/>
      <c r="H5" s="10"/>
      <c r="I5" s="10"/>
      <c r="J5" s="10"/>
      <c r="K5" s="10"/>
      <c r="L5" s="10"/>
      <c r="M5" s="10"/>
      <c r="N5" s="10"/>
      <c r="O5" s="10"/>
    </row>
    <row r="6" spans="1:15">
      <c r="A6" s="22" t="s">
        <v>81</v>
      </c>
      <c r="C6" s="11">
        <f>'Monthly P&amp;L'!C37</f>
        <v>856.990000000002</v>
      </c>
      <c r="D6" s="11">
        <f>'Monthly P&amp;L'!D37</f>
        <v>1211.45</v>
      </c>
      <c r="E6" s="11">
        <f>'Monthly P&amp;L'!E37</f>
        <v>84.5899999999992</v>
      </c>
      <c r="F6" s="11">
        <f>'Monthly P&amp;L'!F37</f>
        <v>245.7</v>
      </c>
      <c r="G6" s="11">
        <f>'Monthly P&amp;L'!G37</f>
        <v>1249.11</v>
      </c>
      <c r="H6" s="11">
        <f>'Monthly P&amp;L'!H37</f>
        <v>1477.77</v>
      </c>
      <c r="I6" s="11">
        <f>'Monthly P&amp;L'!I37</f>
        <v>968.17</v>
      </c>
      <c r="J6" s="11">
        <f>'Monthly P&amp;L'!J37</f>
        <v>845.62</v>
      </c>
      <c r="K6" s="11">
        <f>'Monthly P&amp;L'!K37</f>
        <v>1445.08</v>
      </c>
      <c r="L6" s="11">
        <f>'Monthly P&amp;L'!L37</f>
        <v>1441.17</v>
      </c>
      <c r="M6" s="11">
        <f>'Monthly P&amp;L'!M37</f>
        <v>1641.4</v>
      </c>
      <c r="N6" s="11">
        <f>'Monthly P&amp;L'!N37</f>
        <v>1747.85</v>
      </c>
      <c r="O6" s="10">
        <f>SUM(C6:N6)</f>
        <v>13214.9</v>
      </c>
    </row>
    <row r="7" spans="1:15">
      <c r="A7" s="22" t="s">
        <v>78</v>
      </c>
      <c r="C7" s="11">
        <f>'Monthly P&amp;L'!C31</f>
        <v>0</v>
      </c>
      <c r="D7" s="11">
        <f>'Monthly P&amp;L'!D31</f>
        <v>45.75</v>
      </c>
      <c r="E7" s="11">
        <f>'Monthly P&amp;L'!E31</f>
        <v>45.75</v>
      </c>
      <c r="F7" s="11">
        <f>'Monthly P&amp;L'!F31</f>
        <v>45.75</v>
      </c>
      <c r="G7" s="11">
        <f>'Monthly P&amp;L'!G31</f>
        <v>45.75</v>
      </c>
      <c r="H7" s="11">
        <f>'Monthly P&amp;L'!H31</f>
        <v>45.75</v>
      </c>
      <c r="I7" s="11">
        <f>'Monthly P&amp;L'!I31</f>
        <v>45.75</v>
      </c>
      <c r="J7" s="11">
        <f>'Monthly P&amp;L'!J31</f>
        <v>45.75</v>
      </c>
      <c r="K7" s="11">
        <f>'Monthly P&amp;L'!K31</f>
        <v>45.75</v>
      </c>
      <c r="L7" s="11">
        <f>'Monthly P&amp;L'!L31</f>
        <v>45.75</v>
      </c>
      <c r="M7" s="11">
        <f>'Monthly P&amp;L'!M31</f>
        <v>45.75</v>
      </c>
      <c r="N7" s="11">
        <f>'Monthly P&amp;L'!N31</f>
        <v>45.75</v>
      </c>
      <c r="O7" s="10">
        <f>SUM(C7:N7)</f>
        <v>503.25</v>
      </c>
    </row>
    <row r="8" spans="1:15">
      <c r="A8" s="17" t="s">
        <v>278</v>
      </c>
      <c r="C8" s="10"/>
      <c r="D8" s="10"/>
      <c r="E8" s="10"/>
      <c r="F8" s="10"/>
      <c r="G8" s="10"/>
      <c r="H8" s="10"/>
      <c r="I8" s="10"/>
      <c r="J8" s="10"/>
      <c r="K8" s="10"/>
      <c r="L8" s="10"/>
      <c r="M8" s="10"/>
      <c r="N8" s="10"/>
      <c r="O8" s="10"/>
    </row>
    <row r="9" spans="1:15">
      <c r="A9" s="22" t="s">
        <v>90</v>
      </c>
      <c r="C9" s="11">
        <f>'Monthly BS'!B7-'Monthly BS'!C7</f>
        <v>1056.20741935484</v>
      </c>
      <c r="D9" s="11">
        <f>'Monthly BS'!C7-'Monthly BS'!D7</f>
        <v>-545.02849078341</v>
      </c>
      <c r="E9" s="11">
        <f>'Monthly BS'!D7-'Monthly BS'!E7</f>
        <v>392.921716589862</v>
      </c>
      <c r="F9" s="11">
        <f>'Monthly BS'!E7-'Monthly BS'!F7</f>
        <v>14.9423548387097</v>
      </c>
      <c r="G9" s="11">
        <f>'Monthly BS'!F7-'Monthly BS'!G7</f>
        <v>-106.890419354839</v>
      </c>
      <c r="H9" s="11">
        <f>'Monthly BS'!G7-'Monthly BS'!H7</f>
        <v>-134.290580645161</v>
      </c>
      <c r="I9" s="11">
        <f>'Monthly BS'!H7-'Monthly BS'!I7</f>
        <v>371.820903225806</v>
      </c>
      <c r="J9" s="11">
        <f>'Monthly BS'!I7-'Monthly BS'!J7</f>
        <v>-53.4309677419353</v>
      </c>
      <c r="K9" s="11">
        <f>'Monthly BS'!J7-'Monthly BS'!K7</f>
        <v>-63.9409354838708</v>
      </c>
      <c r="L9" s="11">
        <f>'Monthly BS'!K7-'Monthly BS'!L7</f>
        <v>-68.254548387097</v>
      </c>
      <c r="M9" s="11">
        <f>'Monthly BS'!L7-'Monthly BS'!M7</f>
        <v>-903.059451612903</v>
      </c>
      <c r="N9" s="11">
        <f>'Monthly BS'!M7-'Monthly BS'!N7</f>
        <v>-182.542806451613</v>
      </c>
      <c r="O9" s="10">
        <f>SUM(C9:N9)</f>
        <v>-221.545806451612</v>
      </c>
    </row>
    <row r="10" spans="1:15">
      <c r="A10" s="22" t="s">
        <v>91</v>
      </c>
      <c r="C10" s="11">
        <f>'Monthly BS'!B8-'Monthly BS'!C8</f>
        <v>424.55</v>
      </c>
      <c r="D10" s="11">
        <f>'Monthly BS'!C8-'Monthly BS'!D8</f>
        <v>-1891.4</v>
      </c>
      <c r="E10" s="11">
        <f>'Monthly BS'!D8-'Monthly BS'!E8</f>
        <v>428.65</v>
      </c>
      <c r="F10" s="11">
        <f>'Monthly BS'!E8-'Monthly BS'!F8</f>
        <v>450.65</v>
      </c>
      <c r="G10" s="11">
        <f>'Monthly BS'!F8-'Monthly BS'!G8</f>
        <v>515.05</v>
      </c>
      <c r="H10" s="11">
        <f>'Monthly BS'!G8-'Monthly BS'!H8</f>
        <v>-1791.65</v>
      </c>
      <c r="I10" s="11">
        <f>'Monthly BS'!H8-'Monthly BS'!I8</f>
        <v>446.6</v>
      </c>
      <c r="J10" s="11">
        <f>'Monthly BS'!I8-'Monthly BS'!J8</f>
        <v>412.9</v>
      </c>
      <c r="K10" s="11">
        <f>'Monthly BS'!J8-'Monthly BS'!K8</f>
        <v>499.95</v>
      </c>
      <c r="L10" s="11">
        <f>'Monthly BS'!K8-'Monthly BS'!L8</f>
        <v>-2656.75</v>
      </c>
      <c r="M10" s="11">
        <f>'Monthly BS'!L8-'Monthly BS'!M8</f>
        <v>729</v>
      </c>
      <c r="N10" s="11">
        <f>'Monthly BS'!M8-'Monthly BS'!N8</f>
        <v>934.7</v>
      </c>
      <c r="O10" s="10">
        <f>SUM(C10:N10)</f>
        <v>-1497.75</v>
      </c>
    </row>
    <row r="11" spans="1:15">
      <c r="A11" s="22" t="s">
        <v>97</v>
      </c>
      <c r="C11" s="11">
        <f>'Monthly BS'!C14-'Monthly BS'!B14</f>
        <v>-3615.29032258065</v>
      </c>
      <c r="D11" s="11">
        <f>'Monthly BS'!D14-'Monthly BS'!C14</f>
        <v>1841.11175115207</v>
      </c>
      <c r="E11" s="11">
        <f>'Monthly BS'!E14-'Monthly BS'!D14</f>
        <v>-1233.3698156682</v>
      </c>
      <c r="F11" s="11">
        <f>'Monthly BS'!F14-'Monthly BS'!E14</f>
        <v>-187.451612903225</v>
      </c>
      <c r="G11" s="11">
        <f>'Monthly BS'!G14-'Monthly BS'!F14</f>
        <v>326.806451612903</v>
      </c>
      <c r="H11" s="11">
        <f>'Monthly BS'!H14-'Monthly BS'!G14</f>
        <v>503.193548387097</v>
      </c>
      <c r="I11" s="11">
        <f>'Monthly BS'!I14-'Monthly BS'!H14</f>
        <v>-1333.51612903226</v>
      </c>
      <c r="J11" s="11">
        <f>'Monthly BS'!J14-'Monthly BS'!I14</f>
        <v>319.83870967742</v>
      </c>
      <c r="K11" s="11">
        <f>'Monthly BS'!K14-'Monthly BS'!J14</f>
        <v>-39.822580645161</v>
      </c>
      <c r="L11" s="11">
        <f>'Monthly BS'!L14-'Monthly BS'!K14</f>
        <v>268.209677419355</v>
      </c>
      <c r="M11" s="11">
        <f>'Monthly BS'!M14-'Monthly BS'!L14</f>
        <v>3231.79032258065</v>
      </c>
      <c r="N11" s="11">
        <f>'Monthly BS'!N14-'Monthly BS'!M14</f>
        <v>273.854838709678</v>
      </c>
      <c r="O11" s="10">
        <f>SUM(C11:N11)</f>
        <v>355.354838709678</v>
      </c>
    </row>
    <row r="12" spans="1:15">
      <c r="A12" s="22" t="s">
        <v>98</v>
      </c>
      <c r="C12" s="11">
        <f>'Monthly BS'!C15-'Monthly BS'!B15</f>
        <v>-643.06</v>
      </c>
      <c r="D12" s="11">
        <f>'Monthly BS'!D15-'Monthly BS'!C15</f>
        <v>154.04</v>
      </c>
      <c r="E12" s="11">
        <f>'Monthly BS'!E15-'Monthly BS'!D15</f>
        <v>147.56</v>
      </c>
      <c r="F12" s="11">
        <f>'Monthly BS'!F15-'Monthly BS'!E15</f>
        <v>-252.35</v>
      </c>
      <c r="G12" s="11">
        <f>'Monthly BS'!G15-'Monthly BS'!F15</f>
        <v>179.16</v>
      </c>
      <c r="H12" s="11">
        <f>'Monthly BS'!H15-'Monthly BS'!G15</f>
        <v>187.13</v>
      </c>
      <c r="I12" s="11">
        <f>'Monthly BS'!I15-'Monthly BS'!H15</f>
        <v>-442.48</v>
      </c>
      <c r="J12" s="11">
        <f>'Monthly BS'!J15-'Monthly BS'!I15</f>
        <v>129.38</v>
      </c>
      <c r="K12" s="11">
        <f>'Monthly BS'!K15-'Monthly BS'!J15</f>
        <v>184.11</v>
      </c>
      <c r="L12" s="11">
        <f>'Monthly BS'!L15-'Monthly BS'!K15</f>
        <v>-149.37</v>
      </c>
      <c r="M12" s="11">
        <f>'Monthly BS'!M15-'Monthly BS'!L15</f>
        <v>305.03</v>
      </c>
      <c r="N12" s="11">
        <f>'Monthly BS'!N15-'Monthly BS'!M15</f>
        <v>279.81</v>
      </c>
      <c r="O12" s="10">
        <f>SUM(C12:N12)</f>
        <v>78.9599999999999</v>
      </c>
    </row>
    <row r="13" spans="1:15">
      <c r="A13" s="24" t="s">
        <v>107</v>
      </c>
      <c r="C13" s="27">
        <f>SUM(C6:C12)</f>
        <v>-1920.6029032258</v>
      </c>
      <c r="D13" s="27">
        <f>SUM(D6:D12)</f>
        <v>815.923260368661</v>
      </c>
      <c r="E13" s="27">
        <f>SUM(E6:E12)</f>
        <v>-133.898099078342</v>
      </c>
      <c r="F13" s="27">
        <f>SUM(F6:F12)</f>
        <v>317.240741935484</v>
      </c>
      <c r="G13" s="27">
        <f>SUM(G6:G12)</f>
        <v>2208.98603225807</v>
      </c>
      <c r="H13" s="27">
        <f>SUM(H6:H12)</f>
        <v>287.902967741937</v>
      </c>
      <c r="I13" s="27">
        <f>SUM(I6:I12)</f>
        <v>56.3447741935477</v>
      </c>
      <c r="J13" s="27">
        <f>SUM(J6:J12)</f>
        <v>1700.05774193548</v>
      </c>
      <c r="K13" s="27">
        <f>SUM(K6:K12)</f>
        <v>2071.12648387097</v>
      </c>
      <c r="L13" s="27">
        <f>SUM(L6:L12)</f>
        <v>-1119.24487096774</v>
      </c>
      <c r="M13" s="27">
        <f>SUM(M6:M12)</f>
        <v>5049.91087096774</v>
      </c>
      <c r="N13" s="27">
        <f>SUM(N6:N12)</f>
        <v>3099.42203225806</v>
      </c>
      <c r="O13" s="27">
        <f>SUM(C13:N13)</f>
        <v>12433.1690322581</v>
      </c>
    </row>
    <row r="14" spans="1:15">
      <c r="A14" s="22"/>
      <c r="C14" s="10"/>
      <c r="D14" s="10"/>
      <c r="E14" s="10"/>
      <c r="F14" s="10"/>
      <c r="G14" s="10"/>
      <c r="H14" s="10"/>
      <c r="I14" s="10"/>
      <c r="J14" s="10"/>
      <c r="K14" s="10"/>
      <c r="L14" s="10"/>
      <c r="M14" s="10"/>
      <c r="N14" s="10"/>
      <c r="O14" s="10"/>
    </row>
    <row r="15" spans="1:15">
      <c r="A15" s="20" t="s">
        <v>279</v>
      </c>
      <c r="C15" s="10"/>
      <c r="D15" s="10"/>
      <c r="E15" s="10"/>
      <c r="F15" s="10"/>
      <c r="G15" s="10"/>
      <c r="H15" s="10"/>
      <c r="I15" s="10"/>
      <c r="J15" s="10"/>
      <c r="K15" s="10"/>
      <c r="L15" s="10"/>
      <c r="M15" s="10"/>
      <c r="N15" s="10"/>
      <c r="O15" s="10"/>
    </row>
    <row r="16" spans="1:15">
      <c r="A16" s="22" t="s">
        <v>109</v>
      </c>
      <c r="C16" s="11">
        <f>-'Data'!C32</f>
        <v>-1647</v>
      </c>
      <c r="D16" s="11">
        <f>-'Data'!D32</f>
        <v>0</v>
      </c>
      <c r="E16" s="11">
        <f>-'Data'!E32</f>
        <v>0</v>
      </c>
      <c r="F16" s="11">
        <f>-'Data'!F32</f>
        <v>0</v>
      </c>
      <c r="G16" s="11">
        <f>-'Data'!G32</f>
        <v>0</v>
      </c>
      <c r="H16" s="11">
        <f>-'Data'!H32</f>
        <v>0</v>
      </c>
      <c r="I16" s="11">
        <f>-'Data'!I32</f>
        <v>0</v>
      </c>
      <c r="J16" s="11">
        <f>-'Data'!J32</f>
        <v>0</v>
      </c>
      <c r="K16" s="11">
        <f>-'Data'!K32</f>
        <v>0</v>
      </c>
      <c r="L16" s="11">
        <f>-'Data'!L32</f>
        <v>0</v>
      </c>
      <c r="M16" s="11">
        <f>-'Data'!M32</f>
        <v>0</v>
      </c>
      <c r="N16" s="11">
        <f>-'Data'!N32</f>
        <v>0</v>
      </c>
      <c r="O16" s="10">
        <f>SUM(C16:N16)</f>
        <v>-1647</v>
      </c>
    </row>
    <row r="17" spans="1:15">
      <c r="A17" s="24" t="s">
        <v>110</v>
      </c>
      <c r="C17" s="27">
        <f>C16</f>
        <v>-1647</v>
      </c>
      <c r="D17" s="27">
        <f>D16</f>
        <v>0</v>
      </c>
      <c r="E17" s="27">
        <f>E16</f>
        <v>0</v>
      </c>
      <c r="F17" s="27">
        <f>F16</f>
        <v>0</v>
      </c>
      <c r="G17" s="27">
        <f>G16</f>
        <v>0</v>
      </c>
      <c r="H17" s="27">
        <f>H16</f>
        <v>0</v>
      </c>
      <c r="I17" s="27">
        <f>I16</f>
        <v>0</v>
      </c>
      <c r="J17" s="27">
        <f>J16</f>
        <v>0</v>
      </c>
      <c r="K17" s="27">
        <f>K16</f>
        <v>0</v>
      </c>
      <c r="L17" s="27">
        <f>L16</f>
        <v>0</v>
      </c>
      <c r="M17" s="27">
        <f>M16</f>
        <v>0</v>
      </c>
      <c r="N17" s="27">
        <f>N16</f>
        <v>0</v>
      </c>
      <c r="O17" s="27">
        <f>SUM(C17:N17)</f>
        <v>-1647</v>
      </c>
    </row>
    <row r="18" spans="1:15">
      <c r="A18" s="22"/>
      <c r="C18" s="10"/>
      <c r="D18" s="10"/>
      <c r="E18" s="10"/>
      <c r="F18" s="10"/>
      <c r="G18" s="10"/>
      <c r="H18" s="10"/>
      <c r="I18" s="10"/>
      <c r="J18" s="10"/>
      <c r="K18" s="10"/>
      <c r="L18" s="10"/>
      <c r="M18" s="10"/>
      <c r="N18" s="10"/>
      <c r="O18" s="10"/>
    </row>
    <row r="19" spans="1:15">
      <c r="A19" s="20" t="s">
        <v>280</v>
      </c>
      <c r="C19" s="10"/>
      <c r="D19" s="10"/>
      <c r="E19" s="10"/>
      <c r="F19" s="10"/>
      <c r="G19" s="10"/>
      <c r="H19" s="10"/>
      <c r="I19" s="10"/>
      <c r="J19" s="10"/>
      <c r="K19" s="10"/>
      <c r="L19" s="10"/>
      <c r="M19" s="10"/>
      <c r="N19" s="10"/>
      <c r="O19" s="10"/>
    </row>
    <row r="20" spans="1:15">
      <c r="A20" s="22" t="s">
        <v>112</v>
      </c>
      <c r="C20" s="11">
        <f>'Data'!C33</f>
        <v>0</v>
      </c>
      <c r="D20" s="11">
        <f>'Data'!D33</f>
        <v>2500</v>
      </c>
      <c r="E20" s="11">
        <f>'Data'!E33</f>
        <v>0</v>
      </c>
      <c r="F20" s="11">
        <f>'Data'!F33</f>
        <v>0</v>
      </c>
      <c r="G20" s="11">
        <f>'Data'!G33</f>
        <v>0</v>
      </c>
      <c r="H20" s="11">
        <f>'Data'!H33</f>
        <v>0</v>
      </c>
      <c r="I20" s="11">
        <f>'Data'!I33</f>
        <v>0</v>
      </c>
      <c r="J20" s="11">
        <f>'Data'!J33</f>
        <v>0</v>
      </c>
      <c r="K20" s="11">
        <f>'Data'!K33</f>
        <v>0</v>
      </c>
      <c r="L20" s="11">
        <f>'Data'!L33</f>
        <v>0</v>
      </c>
      <c r="M20" s="11">
        <f>'Data'!M33</f>
        <v>0</v>
      </c>
      <c r="N20" s="11">
        <f>'Data'!N33</f>
        <v>0</v>
      </c>
      <c r="O20" s="10">
        <f>SUM(C20:N20)</f>
        <v>2500</v>
      </c>
    </row>
    <row r="21" spans="1:15">
      <c r="A21" s="22" t="s">
        <v>113</v>
      </c>
      <c r="C21" s="11">
        <f>-'Data'!C34</f>
        <v>-750</v>
      </c>
      <c r="D21" s="11">
        <f>-'Data'!D34</f>
        <v>-750</v>
      </c>
      <c r="E21" s="11">
        <f>-'Data'!E34</f>
        <v>-750</v>
      </c>
      <c r="F21" s="11">
        <f>-'Data'!F34</f>
        <v>-750</v>
      </c>
      <c r="G21" s="11">
        <f>-'Data'!G34</f>
        <v>-750</v>
      </c>
      <c r="H21" s="11">
        <f>-'Data'!H34</f>
        <v>-750</v>
      </c>
      <c r="I21" s="11">
        <f>-'Data'!I34</f>
        <v>-750</v>
      </c>
      <c r="J21" s="11">
        <f>-'Data'!J34</f>
        <v>-750</v>
      </c>
      <c r="K21" s="11">
        <f>-'Data'!K34</f>
        <v>-750</v>
      </c>
      <c r="L21" s="11">
        <f>-'Data'!L34</f>
        <v>-750</v>
      </c>
      <c r="M21" s="11">
        <f>-'Data'!M34</f>
        <v>-750</v>
      </c>
      <c r="N21" s="11">
        <f>-'Data'!N34</f>
        <v>-750</v>
      </c>
      <c r="O21" s="10">
        <f>SUM(C21:N21)</f>
        <v>-9000</v>
      </c>
    </row>
    <row r="22" spans="1:15">
      <c r="A22" s="24" t="s">
        <v>114</v>
      </c>
      <c r="C22" s="27">
        <f>C20+C21</f>
        <v>-750</v>
      </c>
      <c r="D22" s="27">
        <f>D20+D21</f>
        <v>1750</v>
      </c>
      <c r="E22" s="27">
        <f>E20+E21</f>
        <v>-750</v>
      </c>
      <c r="F22" s="27">
        <f>F20+F21</f>
        <v>-750</v>
      </c>
      <c r="G22" s="27">
        <f>G20+G21</f>
        <v>-750</v>
      </c>
      <c r="H22" s="27">
        <f>H20+H21</f>
        <v>-750</v>
      </c>
      <c r="I22" s="27">
        <f>I20+I21</f>
        <v>-750</v>
      </c>
      <c r="J22" s="27">
        <f>J20+J21</f>
        <v>-750</v>
      </c>
      <c r="K22" s="27">
        <f>K20+K21</f>
        <v>-750</v>
      </c>
      <c r="L22" s="27">
        <f>L20+L21</f>
        <v>-750</v>
      </c>
      <c r="M22" s="27">
        <f>M20+M21</f>
        <v>-750</v>
      </c>
      <c r="N22" s="27">
        <f>N20+N21</f>
        <v>-750</v>
      </c>
      <c r="O22" s="27">
        <f>SUM(C22:N22)</f>
        <v>-6500</v>
      </c>
    </row>
    <row r="23" spans="1:15">
      <c r="A23" s="22"/>
      <c r="C23" s="10"/>
      <c r="D23" s="10"/>
      <c r="E23" s="10"/>
      <c r="F23" s="10"/>
      <c r="G23" s="10"/>
      <c r="H23" s="10"/>
      <c r="I23" s="10"/>
      <c r="J23" s="10"/>
      <c r="K23" s="10"/>
      <c r="L23" s="10"/>
      <c r="M23" s="10"/>
      <c r="N23" s="10"/>
      <c r="O23" s="10"/>
    </row>
    <row r="24" spans="1:15">
      <c r="A24" s="24" t="s">
        <v>115</v>
      </c>
      <c r="C24" s="27">
        <f>C13+C17+C22</f>
        <v>-4317.60290322581</v>
      </c>
      <c r="D24" s="27">
        <f>D13+D17+D22</f>
        <v>2565.92326036866</v>
      </c>
      <c r="E24" s="27">
        <f>E13+E17+E22</f>
        <v>-883.898099078342</v>
      </c>
      <c r="F24" s="27">
        <f>F13+F17+F22</f>
        <v>-432.759258064516</v>
      </c>
      <c r="G24" s="27">
        <f>G13+G17+G22</f>
        <v>1458.98603225807</v>
      </c>
      <c r="H24" s="27">
        <f>H13+H17+H22</f>
        <v>-462.097032258063</v>
      </c>
      <c r="I24" s="27">
        <f>I13+I17+I22</f>
        <v>-693.655225806452</v>
      </c>
      <c r="J24" s="27">
        <f>J13+J17+J22</f>
        <v>950.057741935484</v>
      </c>
      <c r="K24" s="27">
        <f>K13+K17+K22</f>
        <v>1321.12648387097</v>
      </c>
      <c r="L24" s="27">
        <f>L13+L17+L22</f>
        <v>-1869.24487096774</v>
      </c>
      <c r="M24" s="27">
        <f>M13+M17+M22</f>
        <v>4299.91087096774</v>
      </c>
      <c r="N24" s="27">
        <f>N13+N17+N22</f>
        <v>2349.42203225806</v>
      </c>
      <c r="O24" s="27">
        <f>SUM(C24:N24)</f>
        <v>4286.16903225806</v>
      </c>
    </row>
    <row r="25" spans="1:15">
      <c r="A25" s="22" t="s">
        <v>181</v>
      </c>
      <c r="C25" s="11">
        <f>'Assumptions'!$B$10</f>
        <v>9000</v>
      </c>
      <c r="D25" s="10">
        <f>C26</f>
        <v>4682.3970967742</v>
      </c>
      <c r="E25" s="10">
        <f>D26</f>
        <v>7248.32035714286</v>
      </c>
      <c r="F25" s="10">
        <f>E26</f>
        <v>6364.42225806452</v>
      </c>
      <c r="G25" s="10">
        <f>F26</f>
        <v>5931.663</v>
      </c>
      <c r="H25" s="10">
        <f>G26</f>
        <v>7390.64903225806</v>
      </c>
      <c r="I25" s="10">
        <f>H26</f>
        <v>6928.552</v>
      </c>
      <c r="J25" s="10">
        <f>I26</f>
        <v>6234.89677419355</v>
      </c>
      <c r="K25" s="10">
        <f>J26</f>
        <v>7184.95451612903</v>
      </c>
      <c r="L25" s="10">
        <f>K26</f>
        <v>8506.081</v>
      </c>
      <c r="M25" s="10">
        <f>L26</f>
        <v>6636.83612903226</v>
      </c>
      <c r="N25" s="10">
        <f>M26</f>
        <v>10936.747</v>
      </c>
      <c r="O25" s="10">
        <f>C25</f>
        <v>9000</v>
      </c>
    </row>
    <row r="26" spans="1:15">
      <c r="A26" s="28" t="s">
        <v>184</v>
      </c>
      <c r="C26" s="33">
        <f>C25+C24</f>
        <v>4682.3970967742</v>
      </c>
      <c r="D26" s="33">
        <f>D25+D24</f>
        <v>7248.32035714286</v>
      </c>
      <c r="E26" s="33">
        <f>E25+E24</f>
        <v>6364.42225806452</v>
      </c>
      <c r="F26" s="33">
        <f>F25+F24</f>
        <v>5931.663</v>
      </c>
      <c r="G26" s="33">
        <f>G25+G24</f>
        <v>7390.64903225806</v>
      </c>
      <c r="H26" s="33">
        <f>H25+H24</f>
        <v>6928.552</v>
      </c>
      <c r="I26" s="33">
        <f>I25+I24</f>
        <v>6234.89677419355</v>
      </c>
      <c r="J26" s="33">
        <f>J25+J24</f>
        <v>7184.95451612903</v>
      </c>
      <c r="K26" s="33">
        <f>K25+K24</f>
        <v>8506.081</v>
      </c>
      <c r="L26" s="33">
        <f>L25+L24</f>
        <v>6636.83612903226</v>
      </c>
      <c r="M26" s="33">
        <f>M25+M24</f>
        <v>10936.747</v>
      </c>
      <c r="N26" s="33">
        <f>N25+N24</f>
        <v>13286.1690322581</v>
      </c>
      <c r="O26" s="33">
        <f>N26</f>
        <v>13286.1690322581</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14.xml><?xml version="1.0" encoding="utf-8"?>
<worksheet xmlns="http://schemas.openxmlformats.org/spreadsheetml/2006/main" xmlns:r="http://schemas.openxmlformats.org/officeDocument/2006/relationships">
  <sheetPr>
    <tabColor rgb="FF7F7F7F"/>
    <pageSetUpPr fitToPage="1"/>
  </sheetPr>
  <dimension ref="A1:O35"/>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0.7109375" customWidth="1"/>
    <col min="3" max="14" width="10.28515625" customWidth="1"/>
    <col min="15" max="15" width="11.7109375" customWidth="1"/>
  </cols>
  <sheetData>
    <row r="1" spans="1:15">
      <c r="A1" s="15" t="s">
        <v>29</v>
      </c>
    </row>
    <row r="2" spans="1:15">
      <c r="A2" s="17" t="s">
        <v>281</v>
      </c>
    </row>
    <row r="3" spans="1:15">
      <c r="A3" s="18" t="s">
        <v>140</v>
      </c>
    </row>
    <row r="4" spans="1:15">
      <c r="A4" s="6" t="s">
        <v>58</v>
      </c>
      <c r="B4" s="31" t="s">
        <v>272</v>
      </c>
      <c r="C4" s="36">
        <v>45688</v>
      </c>
      <c r="D4" s="36">
        <v>45716</v>
      </c>
      <c r="E4" s="36">
        <v>45747</v>
      </c>
      <c r="F4" s="36">
        <v>45777</v>
      </c>
      <c r="G4" s="36">
        <v>45808</v>
      </c>
      <c r="H4" s="36">
        <v>45838</v>
      </c>
      <c r="I4" s="36">
        <v>45869</v>
      </c>
      <c r="J4" s="36">
        <v>45900</v>
      </c>
      <c r="K4" s="36">
        <v>45930</v>
      </c>
      <c r="L4" s="36">
        <v>45961</v>
      </c>
      <c r="M4" s="36">
        <v>45991</v>
      </c>
      <c r="N4" s="36">
        <v>46022</v>
      </c>
      <c r="O4" s="31" t="s">
        <v>165</v>
      </c>
    </row>
    <row r="5" spans="1:15">
      <c r="A5" s="20" t="s">
        <v>282</v>
      </c>
      <c r="B5" s="10"/>
      <c r="C5" s="10"/>
      <c r="D5" s="10"/>
      <c r="E5" s="10"/>
      <c r="F5" s="10"/>
      <c r="G5" s="10"/>
      <c r="H5" s="10"/>
      <c r="I5" s="10"/>
      <c r="J5" s="10"/>
      <c r="K5" s="10"/>
      <c r="L5" s="10"/>
      <c r="M5" s="10"/>
      <c r="N5" s="10"/>
      <c r="O5" s="10"/>
    </row>
    <row r="6" spans="1:15">
      <c r="A6" s="22" t="s">
        <v>283</v>
      </c>
      <c r="B6" s="10"/>
      <c r="C6" s="10">
        <f>B8</f>
        <v>0</v>
      </c>
      <c r="D6" s="10">
        <f>C8</f>
        <v>1647</v>
      </c>
      <c r="E6" s="10">
        <f>D8</f>
        <v>1647</v>
      </c>
      <c r="F6" s="10">
        <f>E8</f>
        <v>1647</v>
      </c>
      <c r="G6" s="10">
        <f>F8</f>
        <v>1647</v>
      </c>
      <c r="H6" s="10">
        <f>G8</f>
        <v>1647</v>
      </c>
      <c r="I6" s="10">
        <f>H8</f>
        <v>1647</v>
      </c>
      <c r="J6" s="10">
        <f>I8</f>
        <v>1647</v>
      </c>
      <c r="K6" s="10">
        <f>J8</f>
        <v>1647</v>
      </c>
      <c r="L6" s="10">
        <f>K8</f>
        <v>1647</v>
      </c>
      <c r="M6" s="10">
        <f>L8</f>
        <v>1647</v>
      </c>
      <c r="N6" s="10">
        <f>M8</f>
        <v>1647</v>
      </c>
      <c r="O6" s="10">
        <f>C6</f>
        <v>0</v>
      </c>
    </row>
    <row r="7" spans="1:15">
      <c r="A7" s="22" t="s">
        <v>284</v>
      </c>
      <c r="B7" s="10"/>
      <c r="C7" s="11">
        <f>'Data'!C32</f>
        <v>1647</v>
      </c>
      <c r="D7" s="11">
        <f>'Data'!D32</f>
        <v>0</v>
      </c>
      <c r="E7" s="11">
        <f>'Data'!E32</f>
        <v>0</v>
      </c>
      <c r="F7" s="11">
        <f>'Data'!F32</f>
        <v>0</v>
      </c>
      <c r="G7" s="11">
        <f>'Data'!G32</f>
        <v>0</v>
      </c>
      <c r="H7" s="11">
        <f>'Data'!H32</f>
        <v>0</v>
      </c>
      <c r="I7" s="11">
        <f>'Data'!I32</f>
        <v>0</v>
      </c>
      <c r="J7" s="11">
        <f>'Data'!J32</f>
        <v>0</v>
      </c>
      <c r="K7" s="11">
        <f>'Data'!K32</f>
        <v>0</v>
      </c>
      <c r="L7" s="11">
        <f>'Data'!L32</f>
        <v>0</v>
      </c>
      <c r="M7" s="11">
        <f>'Data'!M32</f>
        <v>0</v>
      </c>
      <c r="N7" s="11">
        <f>'Data'!N32</f>
        <v>0</v>
      </c>
      <c r="O7" s="10">
        <f>SUM(C7:N7)</f>
        <v>1647</v>
      </c>
    </row>
    <row r="8" spans="1:15">
      <c r="A8" s="24" t="s">
        <v>285</v>
      </c>
      <c r="B8" s="48">
        <f>'Assumptions'!$B$13</f>
        <v>0</v>
      </c>
      <c r="C8" s="27">
        <f>SUM(C6:C7)</f>
        <v>1647</v>
      </c>
      <c r="D8" s="27">
        <f>SUM(D6:D7)</f>
        <v>1647</v>
      </c>
      <c r="E8" s="27">
        <f>SUM(E6:E7)</f>
        <v>1647</v>
      </c>
      <c r="F8" s="27">
        <f>SUM(F6:F7)</f>
        <v>1647</v>
      </c>
      <c r="G8" s="27">
        <f>SUM(G6:G7)</f>
        <v>1647</v>
      </c>
      <c r="H8" s="27">
        <f>SUM(H6:H7)</f>
        <v>1647</v>
      </c>
      <c r="I8" s="27">
        <f>SUM(I6:I7)</f>
        <v>1647</v>
      </c>
      <c r="J8" s="27">
        <f>SUM(J6:J7)</f>
        <v>1647</v>
      </c>
      <c r="K8" s="27">
        <f>SUM(K6:K7)</f>
        <v>1647</v>
      </c>
      <c r="L8" s="27">
        <f>SUM(L6:L7)</f>
        <v>1647</v>
      </c>
      <c r="M8" s="27">
        <f>SUM(M6:M7)</f>
        <v>1647</v>
      </c>
      <c r="N8" s="27">
        <f>SUM(N6:N7)</f>
        <v>1647</v>
      </c>
      <c r="O8" s="27">
        <f>N8</f>
        <v>1647</v>
      </c>
    </row>
    <row r="9" spans="1:15">
      <c r="A9" s="22" t="s">
        <v>286</v>
      </c>
      <c r="B9" s="10"/>
      <c r="C9" s="10">
        <f>B11</f>
        <v>0</v>
      </c>
      <c r="D9" s="10">
        <f>C11</f>
        <v>0</v>
      </c>
      <c r="E9" s="10">
        <f>D11</f>
        <v>45.75</v>
      </c>
      <c r="F9" s="10">
        <f>E11</f>
        <v>91.5</v>
      </c>
      <c r="G9" s="10">
        <f>F11</f>
        <v>137.25</v>
      </c>
      <c r="H9" s="10">
        <f>G11</f>
        <v>183</v>
      </c>
      <c r="I9" s="10">
        <f>H11</f>
        <v>228.75</v>
      </c>
      <c r="J9" s="10">
        <f>I11</f>
        <v>274.5</v>
      </c>
      <c r="K9" s="10">
        <f>J11</f>
        <v>320.25</v>
      </c>
      <c r="L9" s="10">
        <f>K11</f>
        <v>366</v>
      </c>
      <c r="M9" s="10">
        <f>L11</f>
        <v>411.75</v>
      </c>
      <c r="N9" s="10">
        <f>M11</f>
        <v>457.5</v>
      </c>
      <c r="O9" s="10">
        <f>C9</f>
        <v>0</v>
      </c>
    </row>
    <row r="10" spans="1:15">
      <c r="A10" s="22" t="s">
        <v>287</v>
      </c>
      <c r="B10" s="10"/>
      <c r="C10" s="11">
        <f>MIN(B8/('Assumptions'!$B$22*12),B8-B11)</f>
        <v>0</v>
      </c>
      <c r="D10" s="11">
        <f>MIN(C8/('Assumptions'!$B$22*12),C8-C11)</f>
        <v>45.75</v>
      </c>
      <c r="E10" s="11">
        <f>MIN(D8/('Assumptions'!$B$22*12),D8-D11)</f>
        <v>45.75</v>
      </c>
      <c r="F10" s="11">
        <f>MIN(E8/('Assumptions'!$B$22*12),E8-E11)</f>
        <v>45.75</v>
      </c>
      <c r="G10" s="11">
        <f>MIN(F8/('Assumptions'!$B$22*12),F8-F11)</f>
        <v>45.75</v>
      </c>
      <c r="H10" s="11">
        <f>MIN(G8/('Assumptions'!$B$22*12),G8-G11)</f>
        <v>45.75</v>
      </c>
      <c r="I10" s="11">
        <f>MIN(H8/('Assumptions'!$B$22*12),H8-H11)</f>
        <v>45.75</v>
      </c>
      <c r="J10" s="11">
        <f>MIN(I8/('Assumptions'!$B$22*12),I8-I11)</f>
        <v>45.75</v>
      </c>
      <c r="K10" s="11">
        <f>MIN(J8/('Assumptions'!$B$22*12),J8-J11)</f>
        <v>45.75</v>
      </c>
      <c r="L10" s="11">
        <f>MIN(K8/('Assumptions'!$B$22*12),K8-K11)</f>
        <v>45.75</v>
      </c>
      <c r="M10" s="11">
        <f>MIN(L8/('Assumptions'!$B$22*12),L8-L11)</f>
        <v>45.75</v>
      </c>
      <c r="N10" s="11">
        <f>MIN(M8/('Assumptions'!$B$22*12),M8-M11)</f>
        <v>45.75</v>
      </c>
      <c r="O10" s="10">
        <f>SUM(C10:N10)</f>
        <v>503.25</v>
      </c>
    </row>
    <row r="11" spans="1:15">
      <c r="A11" s="24" t="s">
        <v>288</v>
      </c>
      <c r="B11" s="48">
        <f>'Assumptions'!$B$14</f>
        <v>0</v>
      </c>
      <c r="C11" s="27">
        <f>SUM(C9:C10)</f>
        <v>0</v>
      </c>
      <c r="D11" s="27">
        <f>SUM(D9:D10)</f>
        <v>45.75</v>
      </c>
      <c r="E11" s="27">
        <f>SUM(E9:E10)</f>
        <v>91.5</v>
      </c>
      <c r="F11" s="27">
        <f>SUM(F9:F10)</f>
        <v>137.25</v>
      </c>
      <c r="G11" s="27">
        <f>SUM(G9:G10)</f>
        <v>183</v>
      </c>
      <c r="H11" s="27">
        <f>SUM(H9:H10)</f>
        <v>228.75</v>
      </c>
      <c r="I11" s="27">
        <f>SUM(I9:I10)</f>
        <v>274.5</v>
      </c>
      <c r="J11" s="27">
        <f>SUM(J9:J10)</f>
        <v>320.25</v>
      </c>
      <c r="K11" s="27">
        <f>SUM(K9:K10)</f>
        <v>366</v>
      </c>
      <c r="L11" s="27">
        <f>SUM(L9:L10)</f>
        <v>411.75</v>
      </c>
      <c r="M11" s="27">
        <f>SUM(M9:M10)</f>
        <v>457.5</v>
      </c>
      <c r="N11" s="27">
        <f>SUM(N9:N10)</f>
        <v>503.25</v>
      </c>
      <c r="O11" s="27">
        <f>N11</f>
        <v>503.25</v>
      </c>
    </row>
    <row r="12" spans="1:15">
      <c r="A12" s="24" t="s">
        <v>273</v>
      </c>
      <c r="B12" s="27">
        <f>B8-B11</f>
        <v>0</v>
      </c>
      <c r="C12" s="27">
        <f>C8-C11</f>
        <v>1647</v>
      </c>
      <c r="D12" s="27">
        <f>D8-D11</f>
        <v>1601.25</v>
      </c>
      <c r="E12" s="27">
        <f>E8-E11</f>
        <v>1555.5</v>
      </c>
      <c r="F12" s="27">
        <f>F8-F11</f>
        <v>1509.75</v>
      </c>
      <c r="G12" s="27">
        <f>G8-G11</f>
        <v>1464</v>
      </c>
      <c r="H12" s="27">
        <f>H8-H11</f>
        <v>1418.25</v>
      </c>
      <c r="I12" s="27">
        <f>I8-I11</f>
        <v>1372.5</v>
      </c>
      <c r="J12" s="27">
        <f>J8-J11</f>
        <v>1326.75</v>
      </c>
      <c r="K12" s="27">
        <f>K8-K11</f>
        <v>1281</v>
      </c>
      <c r="L12" s="27">
        <f>L8-L11</f>
        <v>1235.25</v>
      </c>
      <c r="M12" s="27">
        <f>M8-M11</f>
        <v>1189.5</v>
      </c>
      <c r="N12" s="27">
        <f>N8-N11</f>
        <v>1143.75</v>
      </c>
      <c r="O12" s="27">
        <f>N12</f>
        <v>1143.75</v>
      </c>
    </row>
    <row r="13" spans="1:15">
      <c r="A13" s="22"/>
      <c r="B13" s="10"/>
      <c r="C13" s="10"/>
      <c r="D13" s="10"/>
      <c r="E13" s="10"/>
      <c r="F13" s="10"/>
      <c r="G13" s="10"/>
      <c r="H13" s="10"/>
      <c r="I13" s="10"/>
      <c r="J13" s="10"/>
      <c r="K13" s="10"/>
      <c r="L13" s="10"/>
      <c r="M13" s="10"/>
      <c r="N13" s="10"/>
      <c r="O13" s="10"/>
    </row>
    <row r="14" spans="1:15">
      <c r="A14" s="20" t="s">
        <v>289</v>
      </c>
      <c r="B14" s="10"/>
      <c r="C14" s="10"/>
      <c r="D14" s="10"/>
      <c r="E14" s="10"/>
      <c r="F14" s="10"/>
      <c r="G14" s="10"/>
      <c r="H14" s="10"/>
      <c r="I14" s="10"/>
      <c r="J14" s="10"/>
      <c r="K14" s="10"/>
      <c r="L14" s="10"/>
      <c r="M14" s="10"/>
      <c r="N14" s="10"/>
      <c r="O14" s="10"/>
    </row>
    <row r="15" spans="1:15">
      <c r="A15" s="22" t="s">
        <v>290</v>
      </c>
      <c r="B15" s="10"/>
      <c r="C15" s="10">
        <f>B18</f>
        <v>700</v>
      </c>
      <c r="D15" s="10">
        <f>C18</f>
        <v>275.45</v>
      </c>
      <c r="E15" s="10">
        <f>D18</f>
        <v>2166.85</v>
      </c>
      <c r="F15" s="10">
        <f>E18</f>
        <v>1738.2</v>
      </c>
      <c r="G15" s="10">
        <f>F18</f>
        <v>1287.55</v>
      </c>
      <c r="H15" s="10">
        <f>G18</f>
        <v>772.5</v>
      </c>
      <c r="I15" s="10">
        <f>H18</f>
        <v>2564.15</v>
      </c>
      <c r="J15" s="10">
        <f>I18</f>
        <v>2117.55</v>
      </c>
      <c r="K15" s="10">
        <f>J18</f>
        <v>1704.65</v>
      </c>
      <c r="L15" s="10">
        <f>K18</f>
        <v>1204.7</v>
      </c>
      <c r="M15" s="10">
        <f>L18</f>
        <v>3861.45</v>
      </c>
      <c r="N15" s="10">
        <f>M18</f>
        <v>3132.45</v>
      </c>
      <c r="O15" s="10">
        <f>C15</f>
        <v>700</v>
      </c>
    </row>
    <row r="16" spans="1:15">
      <c r="A16" s="22" t="s">
        <v>291</v>
      </c>
      <c r="B16" s="10"/>
      <c r="C16" s="11">
        <f>'Data'!C31</f>
        <v>0</v>
      </c>
      <c r="D16" s="11">
        <f>'Data'!D31</f>
        <v>2400</v>
      </c>
      <c r="E16" s="11">
        <f>'Data'!E31</f>
        <v>0</v>
      </c>
      <c r="F16" s="11">
        <f>'Data'!F31</f>
        <v>0</v>
      </c>
      <c r="G16" s="11">
        <f>'Data'!G31</f>
        <v>0</v>
      </c>
      <c r="H16" s="11">
        <f>'Data'!H31</f>
        <v>2300</v>
      </c>
      <c r="I16" s="11">
        <f>'Data'!I31</f>
        <v>0</v>
      </c>
      <c r="J16" s="11">
        <f>'Data'!J31</f>
        <v>0</v>
      </c>
      <c r="K16" s="11">
        <f>'Data'!K31</f>
        <v>0</v>
      </c>
      <c r="L16" s="11">
        <f>'Data'!L31</f>
        <v>3200</v>
      </c>
      <c r="M16" s="11">
        <f>'Data'!M31</f>
        <v>0</v>
      </c>
      <c r="N16" s="11">
        <f>'Data'!N31</f>
        <v>0</v>
      </c>
      <c r="O16" s="10">
        <f>SUM(C16:N16)</f>
        <v>7900</v>
      </c>
    </row>
    <row r="17" spans="1:15">
      <c r="A17" s="22" t="s">
        <v>66</v>
      </c>
      <c r="B17" s="10"/>
      <c r="C17" s="11">
        <f>-'Data'!C17</f>
        <v>-424.55</v>
      </c>
      <c r="D17" s="11">
        <f>-'Data'!D17</f>
        <v>-508.6</v>
      </c>
      <c r="E17" s="11">
        <f>-'Data'!E17</f>
        <v>-428.65</v>
      </c>
      <c r="F17" s="11">
        <f>-'Data'!F17</f>
        <v>-450.65</v>
      </c>
      <c r="G17" s="11">
        <f>-'Data'!G17</f>
        <v>-515.05</v>
      </c>
      <c r="H17" s="11">
        <f>-'Data'!H17</f>
        <v>-508.35</v>
      </c>
      <c r="I17" s="11">
        <f>-'Data'!I17</f>
        <v>-446.6</v>
      </c>
      <c r="J17" s="11">
        <f>-'Data'!J17</f>
        <v>-412.9</v>
      </c>
      <c r="K17" s="11">
        <f>-'Data'!K17</f>
        <v>-499.95</v>
      </c>
      <c r="L17" s="11">
        <f>-'Data'!L17</f>
        <v>-543.25</v>
      </c>
      <c r="M17" s="11">
        <f>-'Data'!M17</f>
        <v>-729</v>
      </c>
      <c r="N17" s="11">
        <f>-'Data'!N17</f>
        <v>-934.7</v>
      </c>
      <c r="O17" s="10">
        <f>SUM(C17:N17)</f>
        <v>-6402.25</v>
      </c>
    </row>
    <row r="18" spans="1:15">
      <c r="A18" s="24" t="s">
        <v>292</v>
      </c>
      <c r="B18" s="48">
        <f>'Assumptions'!$B$12</f>
        <v>700</v>
      </c>
      <c r="C18" s="27">
        <f>SUM(C15:C17)</f>
        <v>275.45</v>
      </c>
      <c r="D18" s="27">
        <f>SUM(D15:D17)</f>
        <v>2166.85</v>
      </c>
      <c r="E18" s="27">
        <f>SUM(E15:E17)</f>
        <v>1738.2</v>
      </c>
      <c r="F18" s="27">
        <f>SUM(F15:F17)</f>
        <v>1287.55</v>
      </c>
      <c r="G18" s="27">
        <f>SUM(G15:G17)</f>
        <v>772.5</v>
      </c>
      <c r="H18" s="27">
        <f>SUM(H15:H17)</f>
        <v>2564.15</v>
      </c>
      <c r="I18" s="27">
        <f>SUM(I15:I17)</f>
        <v>2117.55</v>
      </c>
      <c r="J18" s="27">
        <f>SUM(J15:J17)</f>
        <v>1704.65</v>
      </c>
      <c r="K18" s="27">
        <f>SUM(K15:K17)</f>
        <v>1204.7</v>
      </c>
      <c r="L18" s="27">
        <f>SUM(L15:L17)</f>
        <v>3861.45</v>
      </c>
      <c r="M18" s="27">
        <f>SUM(M15:M17)</f>
        <v>3132.45</v>
      </c>
      <c r="N18" s="27">
        <f>SUM(N15:N17)</f>
        <v>2197.75</v>
      </c>
      <c r="O18" s="27">
        <f>N18</f>
        <v>2197.75</v>
      </c>
    </row>
    <row r="19" spans="1:15">
      <c r="A19" s="22"/>
      <c r="B19" s="10"/>
      <c r="C19" s="10"/>
      <c r="D19" s="10"/>
      <c r="E19" s="10"/>
      <c r="F19" s="10"/>
      <c r="G19" s="10"/>
      <c r="H19" s="10"/>
      <c r="I19" s="10"/>
      <c r="J19" s="10"/>
      <c r="K19" s="10"/>
      <c r="L19" s="10"/>
      <c r="M19" s="10"/>
      <c r="N19" s="10"/>
      <c r="O19" s="10"/>
    </row>
    <row r="20" spans="1:15">
      <c r="A20" s="20" t="s">
        <v>293</v>
      </c>
      <c r="B20" s="10"/>
      <c r="C20" s="10"/>
      <c r="D20" s="10"/>
      <c r="E20" s="10"/>
      <c r="F20" s="10"/>
      <c r="G20" s="10"/>
      <c r="H20" s="10"/>
      <c r="I20" s="10"/>
      <c r="J20" s="10"/>
      <c r="K20" s="10"/>
      <c r="L20" s="10"/>
      <c r="M20" s="10"/>
      <c r="N20" s="10"/>
      <c r="O20" s="10"/>
    </row>
    <row r="21" spans="1:15">
      <c r="A21" s="22" t="s">
        <v>294</v>
      </c>
      <c r="B21" s="11">
        <f>'Assumptions'!$B$11</f>
        <v>2374</v>
      </c>
      <c r="C21" s="11">
        <f>'Monthly P&amp;L'!C11*'Assumptions'!$B$20/DAY(C$4)</f>
        <v>1317.79258064516</v>
      </c>
      <c r="D21" s="11">
        <f>'Monthly P&amp;L'!D11*'Assumptions'!$B$20/DAY(D$4)</f>
        <v>1862.82107142857</v>
      </c>
      <c r="E21" s="11">
        <f>'Monthly P&amp;L'!E11*'Assumptions'!$B$20/DAY(E$4)</f>
        <v>1469.89935483871</v>
      </c>
      <c r="F21" s="11">
        <f>'Monthly P&amp;L'!F11*'Assumptions'!$B$20/DAY(F$4)</f>
        <v>1454.957</v>
      </c>
      <c r="G21" s="11">
        <f>'Monthly P&amp;L'!G11*'Assumptions'!$B$20/DAY(G$4)</f>
        <v>1561.84741935484</v>
      </c>
      <c r="H21" s="11">
        <f>'Monthly P&amp;L'!H11*'Assumptions'!$B$20/DAY(H$4)</f>
        <v>1696.138</v>
      </c>
      <c r="I21" s="11">
        <f>'Monthly P&amp;L'!I11*'Assumptions'!$B$20/DAY(I$4)</f>
        <v>1324.31709677419</v>
      </c>
      <c r="J21" s="11">
        <f>'Monthly P&amp;L'!J11*'Assumptions'!$B$20/DAY(J$4)</f>
        <v>1377.74806451613</v>
      </c>
      <c r="K21" s="11">
        <f>'Monthly P&amp;L'!K11*'Assumptions'!$B$20/DAY(K$4)</f>
        <v>1441.689</v>
      </c>
      <c r="L21" s="11">
        <f>'Monthly P&amp;L'!L11*'Assumptions'!$B$20/DAY(L$4)</f>
        <v>1509.9435483871</v>
      </c>
      <c r="M21" s="11">
        <f>'Monthly P&amp;L'!M11*'Assumptions'!$B$20/DAY(M$4)</f>
        <v>2413.003</v>
      </c>
      <c r="N21" s="11">
        <f>'Monthly P&amp;L'!N11*'Assumptions'!$B$20/DAY(N$4)</f>
        <v>2595.54580645161</v>
      </c>
      <c r="O21" s="10">
        <f>N21</f>
        <v>2595.54580645161</v>
      </c>
    </row>
    <row r="22" spans="1:15">
      <c r="A22" s="22" t="s">
        <v>295</v>
      </c>
      <c r="B22" s="11">
        <f>'Assumptions'!$B$15</f>
        <v>8019</v>
      </c>
      <c r="C22" s="11">
        <f>'Monthly P&amp;L'!C14*'Assumptions'!$B$21/DAY(C$4)</f>
        <v>4403.70967741936</v>
      </c>
      <c r="D22" s="11">
        <f>'Monthly P&amp;L'!D14*'Assumptions'!$B$21/DAY(D$4)</f>
        <v>6244.82142857143</v>
      </c>
      <c r="E22" s="11">
        <f>'Monthly P&amp;L'!E14*'Assumptions'!$B$21/DAY(E$4)</f>
        <v>5011.45161290323</v>
      </c>
      <c r="F22" s="11">
        <f>'Monthly P&amp;L'!F14*'Assumptions'!$B$21/DAY(F$4)</f>
        <v>4824</v>
      </c>
      <c r="G22" s="11">
        <f>'Monthly P&amp;L'!G14*'Assumptions'!$B$21/DAY(G$4)</f>
        <v>5150.8064516129</v>
      </c>
      <c r="H22" s="11">
        <f>'Monthly P&amp;L'!H14*'Assumptions'!$B$21/DAY(H$4)</f>
        <v>5654</v>
      </c>
      <c r="I22" s="11">
        <f>'Monthly P&amp;L'!I14*'Assumptions'!$B$21/DAY(I$4)</f>
        <v>4320.48387096774</v>
      </c>
      <c r="J22" s="11">
        <f>'Monthly P&amp;L'!J14*'Assumptions'!$B$21/DAY(J$4)</f>
        <v>4640.32258064516</v>
      </c>
      <c r="K22" s="11">
        <f>'Monthly P&amp;L'!K14*'Assumptions'!$B$21/DAY(K$4)</f>
        <v>4600.5</v>
      </c>
      <c r="L22" s="11">
        <f>'Monthly P&amp;L'!L14*'Assumptions'!$B$21/DAY(L$4)</f>
        <v>4868.70967741936</v>
      </c>
      <c r="M22" s="11">
        <f>'Monthly P&amp;L'!M14*'Assumptions'!$B$21/DAY(M$4)</f>
        <v>8100.5</v>
      </c>
      <c r="N22" s="11">
        <f>'Monthly P&amp;L'!N14*'Assumptions'!$B$21/DAY(N$4)</f>
        <v>8374.35483870968</v>
      </c>
      <c r="O22" s="10">
        <f>N22</f>
        <v>8374.35483870968</v>
      </c>
    </row>
    <row r="23" spans="1:15">
      <c r="A23" s="22"/>
      <c r="B23" s="10"/>
      <c r="C23" s="10"/>
      <c r="D23" s="10"/>
      <c r="E23" s="10"/>
      <c r="F23" s="10"/>
      <c r="G23" s="10"/>
      <c r="H23" s="10"/>
      <c r="I23" s="10"/>
      <c r="J23" s="10"/>
      <c r="K23" s="10"/>
      <c r="L23" s="10"/>
      <c r="M23" s="10"/>
      <c r="N23" s="10"/>
      <c r="O23" s="10"/>
    </row>
    <row r="24" spans="1:15">
      <c r="A24" s="20" t="s">
        <v>98</v>
      </c>
      <c r="B24" s="10"/>
      <c r="C24" s="10"/>
      <c r="D24" s="10"/>
      <c r="E24" s="10"/>
      <c r="F24" s="10"/>
      <c r="G24" s="10"/>
      <c r="H24" s="10"/>
      <c r="I24" s="10"/>
      <c r="J24" s="10"/>
      <c r="K24" s="10"/>
      <c r="L24" s="10"/>
      <c r="M24" s="10"/>
      <c r="N24" s="10"/>
      <c r="O24" s="10"/>
    </row>
    <row r="25" spans="1:15">
      <c r="A25" s="22" t="s">
        <v>290</v>
      </c>
      <c r="B25" s="10"/>
      <c r="C25" s="10">
        <f>B28</f>
        <v>708</v>
      </c>
      <c r="D25" s="10">
        <f>C28</f>
        <v>64.94</v>
      </c>
      <c r="E25" s="10">
        <f>D28</f>
        <v>218.98</v>
      </c>
      <c r="F25" s="10">
        <f>E28</f>
        <v>366.54</v>
      </c>
      <c r="G25" s="10">
        <f>F28</f>
        <v>114.19</v>
      </c>
      <c r="H25" s="10">
        <f>G28</f>
        <v>293.35</v>
      </c>
      <c r="I25" s="10">
        <f>H28</f>
        <v>480.48</v>
      </c>
      <c r="J25" s="10">
        <f>I28</f>
        <v>37.9999999999999</v>
      </c>
      <c r="K25" s="10">
        <f>J28</f>
        <v>167.38</v>
      </c>
      <c r="L25" s="10">
        <f>K28</f>
        <v>351.49</v>
      </c>
      <c r="M25" s="10">
        <f>L28</f>
        <v>202.12</v>
      </c>
      <c r="N25" s="10">
        <f>M28</f>
        <v>507.15</v>
      </c>
      <c r="O25" s="10">
        <f>C25</f>
        <v>708</v>
      </c>
    </row>
    <row r="26" spans="1:15">
      <c r="A26" s="22" t="s">
        <v>296</v>
      </c>
      <c r="B26" s="10"/>
      <c r="C26" s="11">
        <f>'Data'!C35</f>
        <v>64.94</v>
      </c>
      <c r="D26" s="11">
        <f>'Data'!D35</f>
        <v>154.04</v>
      </c>
      <c r="E26" s="11">
        <f>'Data'!E35</f>
        <v>147.56</v>
      </c>
      <c r="F26" s="11">
        <f>'Data'!F35</f>
        <v>114.19</v>
      </c>
      <c r="G26" s="11">
        <f>'Data'!G35</f>
        <v>179.16</v>
      </c>
      <c r="H26" s="11">
        <f>'Data'!H35</f>
        <v>187.13</v>
      </c>
      <c r="I26" s="11">
        <f>'Data'!I35</f>
        <v>38</v>
      </c>
      <c r="J26" s="11">
        <f>'Data'!J35</f>
        <v>129.38</v>
      </c>
      <c r="K26" s="11">
        <f>'Data'!K35</f>
        <v>184.11</v>
      </c>
      <c r="L26" s="11">
        <f>'Data'!L35</f>
        <v>202.12</v>
      </c>
      <c r="M26" s="11">
        <f>'Data'!M35</f>
        <v>305.03</v>
      </c>
      <c r="N26" s="11">
        <f>'Data'!N35</f>
        <v>279.81</v>
      </c>
      <c r="O26" s="10">
        <f>SUM(C26:N26)</f>
        <v>1985.47</v>
      </c>
    </row>
    <row r="27" spans="1:15">
      <c r="A27" s="22" t="s">
        <v>297</v>
      </c>
      <c r="B27" s="10"/>
      <c r="C27" s="11">
        <f>-'Data'!C36</f>
        <v>-708</v>
      </c>
      <c r="D27" s="11">
        <f>-'Data'!D36</f>
        <v>0</v>
      </c>
      <c r="E27" s="11">
        <f>-'Data'!E36</f>
        <v>0</v>
      </c>
      <c r="F27" s="11">
        <f>-'Data'!F36</f>
        <v>-366.54</v>
      </c>
      <c r="G27" s="11">
        <f>-'Data'!G36</f>
        <v>0</v>
      </c>
      <c r="H27" s="11">
        <f>-'Data'!H36</f>
        <v>0</v>
      </c>
      <c r="I27" s="11">
        <f>-'Data'!I36</f>
        <v>-480.48</v>
      </c>
      <c r="J27" s="11">
        <f>-'Data'!J36</f>
        <v>0</v>
      </c>
      <c r="K27" s="11">
        <f>-'Data'!K36</f>
        <v>0</v>
      </c>
      <c r="L27" s="11">
        <f>-'Data'!L36</f>
        <v>-351.49</v>
      </c>
      <c r="M27" s="11">
        <f>-'Data'!M36</f>
        <v>0</v>
      </c>
      <c r="N27" s="11">
        <f>-'Data'!N36</f>
        <v>0</v>
      </c>
      <c r="O27" s="10">
        <f>SUM(C27:N27)</f>
        <v>-1906.51</v>
      </c>
    </row>
    <row r="28" spans="1:15">
      <c r="A28" s="24" t="s">
        <v>292</v>
      </c>
      <c r="B28" s="48">
        <f>'Assumptions'!$B$16</f>
        <v>708</v>
      </c>
      <c r="C28" s="27">
        <f>SUM(C25:C27)</f>
        <v>64.94</v>
      </c>
      <c r="D28" s="27">
        <f>SUM(D25:D27)</f>
        <v>218.98</v>
      </c>
      <c r="E28" s="27">
        <f>SUM(E25:E27)</f>
        <v>366.54</v>
      </c>
      <c r="F28" s="27">
        <f>SUM(F25:F27)</f>
        <v>114.19</v>
      </c>
      <c r="G28" s="27">
        <f>SUM(G25:G27)</f>
        <v>293.35</v>
      </c>
      <c r="H28" s="27">
        <f>SUM(H25:H27)</f>
        <v>480.48</v>
      </c>
      <c r="I28" s="27">
        <f>SUM(I25:I27)</f>
        <v>37.9999999999999</v>
      </c>
      <c r="J28" s="27">
        <f>SUM(J25:J27)</f>
        <v>167.38</v>
      </c>
      <c r="K28" s="27">
        <f>SUM(K25:K27)</f>
        <v>351.49</v>
      </c>
      <c r="L28" s="27">
        <f>SUM(L25:L27)</f>
        <v>202.12</v>
      </c>
      <c r="M28" s="27">
        <f>SUM(M25:M27)</f>
        <v>507.15</v>
      </c>
      <c r="N28" s="27">
        <f>SUM(N25:N27)</f>
        <v>786.96</v>
      </c>
      <c r="O28" s="27">
        <f>N28</f>
        <v>786.96</v>
      </c>
    </row>
    <row r="29" spans="1:15">
      <c r="A29" s="22"/>
      <c r="B29" s="10"/>
      <c r="C29" s="10"/>
      <c r="D29" s="10"/>
      <c r="E29" s="10"/>
      <c r="F29" s="10"/>
      <c r="G29" s="10"/>
      <c r="H29" s="10"/>
      <c r="I29" s="10"/>
      <c r="J29" s="10"/>
      <c r="K29" s="10"/>
      <c r="L29" s="10"/>
      <c r="M29" s="10"/>
      <c r="N29" s="10"/>
      <c r="O29" s="10"/>
    </row>
    <row r="30" spans="1:15">
      <c r="A30" s="20" t="s">
        <v>100</v>
      </c>
      <c r="B30" s="10"/>
      <c r="C30" s="10"/>
      <c r="D30" s="10"/>
      <c r="E30" s="10"/>
      <c r="F30" s="10"/>
      <c r="G30" s="10"/>
      <c r="H30" s="10"/>
      <c r="I30" s="10"/>
      <c r="J30" s="10"/>
      <c r="K30" s="10"/>
      <c r="L30" s="10"/>
      <c r="M30" s="10"/>
      <c r="N30" s="10"/>
      <c r="O30" s="10"/>
    </row>
    <row r="31" spans="1:15">
      <c r="A31" s="22" t="s">
        <v>290</v>
      </c>
      <c r="B31" s="10"/>
      <c r="C31" s="10">
        <f>B35</f>
        <v>3347</v>
      </c>
      <c r="D31" s="10">
        <f>C35</f>
        <v>3453.99</v>
      </c>
      <c r="E31" s="10">
        <f>D35</f>
        <v>6415.44</v>
      </c>
      <c r="F31" s="10">
        <f>E35</f>
        <v>5750.03</v>
      </c>
      <c r="G31" s="10">
        <f>F35</f>
        <v>5245.73</v>
      </c>
      <c r="H31" s="10">
        <f>G35</f>
        <v>5744.84</v>
      </c>
      <c r="I31" s="10">
        <f>H35</f>
        <v>6472.61</v>
      </c>
      <c r="J31" s="10">
        <f>I35</f>
        <v>6690.78</v>
      </c>
      <c r="K31" s="10">
        <f>J35</f>
        <v>6786.4</v>
      </c>
      <c r="L31" s="10">
        <f>K35</f>
        <v>7481.48</v>
      </c>
      <c r="M31" s="10">
        <f>L35</f>
        <v>8172.65</v>
      </c>
      <c r="N31" s="10">
        <f>M35</f>
        <v>9064.05</v>
      </c>
      <c r="O31" s="10">
        <f>C31</f>
        <v>3347</v>
      </c>
    </row>
    <row r="32" spans="1:15">
      <c r="A32" s="22" t="s">
        <v>112</v>
      </c>
      <c r="B32" s="10"/>
      <c r="C32" s="11">
        <f>'Data'!C33</f>
        <v>0</v>
      </c>
      <c r="D32" s="11">
        <f>'Data'!D33</f>
        <v>2500</v>
      </c>
      <c r="E32" s="11">
        <f>'Data'!E33</f>
        <v>0</v>
      </c>
      <c r="F32" s="11">
        <f>'Data'!F33</f>
        <v>0</v>
      </c>
      <c r="G32" s="11">
        <f>'Data'!G33</f>
        <v>0</v>
      </c>
      <c r="H32" s="11">
        <f>'Data'!H33</f>
        <v>0</v>
      </c>
      <c r="I32" s="11">
        <f>'Data'!I33</f>
        <v>0</v>
      </c>
      <c r="J32" s="11">
        <f>'Data'!J33</f>
        <v>0</v>
      </c>
      <c r="K32" s="11">
        <f>'Data'!K33</f>
        <v>0</v>
      </c>
      <c r="L32" s="11">
        <f>'Data'!L33</f>
        <v>0</v>
      </c>
      <c r="M32" s="11">
        <f>'Data'!M33</f>
        <v>0</v>
      </c>
      <c r="N32" s="11">
        <f>'Data'!N33</f>
        <v>0</v>
      </c>
      <c r="O32" s="10">
        <f>SUM(C32:N32)</f>
        <v>2500</v>
      </c>
    </row>
    <row r="33" spans="1:15">
      <c r="A33" s="22" t="s">
        <v>81</v>
      </c>
      <c r="B33" s="10"/>
      <c r="C33" s="11">
        <f>'Monthly P&amp;L'!C37</f>
        <v>856.990000000002</v>
      </c>
      <c r="D33" s="11">
        <f>'Monthly P&amp;L'!D37</f>
        <v>1211.45</v>
      </c>
      <c r="E33" s="11">
        <f>'Monthly P&amp;L'!E37</f>
        <v>84.5899999999992</v>
      </c>
      <c r="F33" s="11">
        <f>'Monthly P&amp;L'!F37</f>
        <v>245.7</v>
      </c>
      <c r="G33" s="11">
        <f>'Monthly P&amp;L'!G37</f>
        <v>1249.11</v>
      </c>
      <c r="H33" s="11">
        <f>'Monthly P&amp;L'!H37</f>
        <v>1477.77</v>
      </c>
      <c r="I33" s="11">
        <f>'Monthly P&amp;L'!I37</f>
        <v>968.17</v>
      </c>
      <c r="J33" s="11">
        <f>'Monthly P&amp;L'!J37</f>
        <v>845.62</v>
      </c>
      <c r="K33" s="11">
        <f>'Monthly P&amp;L'!K37</f>
        <v>1445.08</v>
      </c>
      <c r="L33" s="11">
        <f>'Monthly P&amp;L'!L37</f>
        <v>1441.17</v>
      </c>
      <c r="M33" s="11">
        <f>'Monthly P&amp;L'!M37</f>
        <v>1641.4</v>
      </c>
      <c r="N33" s="11">
        <f>'Monthly P&amp;L'!N37</f>
        <v>1747.85</v>
      </c>
      <c r="O33" s="10">
        <f>SUM(C33:N33)</f>
        <v>13214.9</v>
      </c>
    </row>
    <row r="34" spans="1:15">
      <c r="A34" s="22" t="s">
        <v>113</v>
      </c>
      <c r="B34" s="10"/>
      <c r="C34" s="11">
        <f>-'Data'!C34</f>
        <v>-750</v>
      </c>
      <c r="D34" s="11">
        <f>-'Data'!D34</f>
        <v>-750</v>
      </c>
      <c r="E34" s="11">
        <f>-'Data'!E34</f>
        <v>-750</v>
      </c>
      <c r="F34" s="11">
        <f>-'Data'!F34</f>
        <v>-750</v>
      </c>
      <c r="G34" s="11">
        <f>-'Data'!G34</f>
        <v>-750</v>
      </c>
      <c r="H34" s="11">
        <f>-'Data'!H34</f>
        <v>-750</v>
      </c>
      <c r="I34" s="11">
        <f>-'Data'!I34</f>
        <v>-750</v>
      </c>
      <c r="J34" s="11">
        <f>-'Data'!J34</f>
        <v>-750</v>
      </c>
      <c r="K34" s="11">
        <f>-'Data'!K34</f>
        <v>-750</v>
      </c>
      <c r="L34" s="11">
        <f>-'Data'!L34</f>
        <v>-750</v>
      </c>
      <c r="M34" s="11">
        <f>-'Data'!M34</f>
        <v>-750</v>
      </c>
      <c r="N34" s="11">
        <f>-'Data'!N34</f>
        <v>-750</v>
      </c>
      <c r="O34" s="10">
        <f>SUM(C34:N34)</f>
        <v>-9000</v>
      </c>
    </row>
    <row r="35" spans="1:15">
      <c r="A35" s="24" t="s">
        <v>292</v>
      </c>
      <c r="B35" s="48">
        <f>'Assumptions'!$B$17</f>
        <v>3347</v>
      </c>
      <c r="C35" s="27">
        <f>SUM(C31:C34)</f>
        <v>3453.99</v>
      </c>
      <c r="D35" s="27">
        <f>SUM(D31:D34)</f>
        <v>6415.44</v>
      </c>
      <c r="E35" s="27">
        <f>SUM(E31:E34)</f>
        <v>5750.03</v>
      </c>
      <c r="F35" s="27">
        <f>SUM(F31:F34)</f>
        <v>5245.73</v>
      </c>
      <c r="G35" s="27">
        <f>SUM(G31:G34)</f>
        <v>5744.84</v>
      </c>
      <c r="H35" s="27">
        <f>SUM(H31:H34)</f>
        <v>6472.61</v>
      </c>
      <c r="I35" s="27">
        <f>SUM(I31:I34)</f>
        <v>6690.78</v>
      </c>
      <c r="J35" s="27">
        <f>SUM(J31:J34)</f>
        <v>6786.4</v>
      </c>
      <c r="K35" s="27">
        <f>SUM(K31:K34)</f>
        <v>7481.48</v>
      </c>
      <c r="L35" s="27">
        <f>SUM(L31:L34)</f>
        <v>8172.65</v>
      </c>
      <c r="M35" s="27">
        <f>SUM(M31:M34)</f>
        <v>9064.05</v>
      </c>
      <c r="N35" s="27">
        <f>SUM(N31:N34)</f>
        <v>10061.9</v>
      </c>
      <c r="O35" s="27">
        <f>N35</f>
        <v>10061.9</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15.xml><?xml version="1.0" encoding="utf-8"?>
<worksheet xmlns="http://schemas.openxmlformats.org/spreadsheetml/2006/main" xmlns:r="http://schemas.openxmlformats.org/officeDocument/2006/relationships">
  <sheetPr>
    <tabColor rgb="FF7F7F7F"/>
    <pageSetUpPr fitToPage="1"/>
  </sheetPr>
  <dimension ref="A1:O17"/>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8.7109375" customWidth="1"/>
    <col min="3" max="14" width="10.28515625" customWidth="1"/>
    <col min="15" max="15" width="11.7109375" customWidth="1"/>
  </cols>
  <sheetData>
    <row r="1" spans="1:15">
      <c r="A1" s="15" t="s">
        <v>31</v>
      </c>
    </row>
    <row r="2" spans="1:15">
      <c r="A2" s="17" t="s">
        <v>298</v>
      </c>
    </row>
    <row r="3" spans="1:15">
      <c r="A3" s="18" t="s">
        <v>140</v>
      </c>
    </row>
    <row r="4" spans="1:15">
      <c r="A4" s="6" t="s">
        <v>58</v>
      </c>
      <c r="B4" s="31" t="s">
        <v>258</v>
      </c>
      <c r="C4" s="36">
        <v>45688</v>
      </c>
      <c r="D4" s="36">
        <v>45716</v>
      </c>
      <c r="E4" s="36">
        <v>45747</v>
      </c>
      <c r="F4" s="36">
        <v>45777</v>
      </c>
      <c r="G4" s="36">
        <v>45808</v>
      </c>
      <c r="H4" s="36">
        <v>45838</v>
      </c>
      <c r="I4" s="36">
        <v>45869</v>
      </c>
      <c r="J4" s="36">
        <v>45900</v>
      </c>
      <c r="K4" s="36">
        <v>45930</v>
      </c>
      <c r="L4" s="36">
        <v>45961</v>
      </c>
      <c r="M4" s="36">
        <v>45991</v>
      </c>
      <c r="N4" s="36">
        <v>46022</v>
      </c>
      <c r="O4" s="31" t="s">
        <v>165</v>
      </c>
    </row>
    <row r="5" spans="1:15">
      <c r="A5" s="20" t="s">
        <v>299</v>
      </c>
      <c r="C5" s="10"/>
      <c r="D5" s="10"/>
      <c r="E5" s="10"/>
      <c r="F5" s="10"/>
      <c r="G5" s="10"/>
      <c r="H5" s="10"/>
      <c r="I5" s="10"/>
      <c r="J5" s="10"/>
      <c r="K5" s="10"/>
      <c r="L5" s="10"/>
      <c r="M5" s="10"/>
      <c r="N5" s="10"/>
      <c r="O5" s="10"/>
    </row>
    <row r="6" spans="1:15">
      <c r="A6" s="22" t="s">
        <v>147</v>
      </c>
      <c r="B6" s="49">
        <v>0.735</v>
      </c>
      <c r="C6" s="11">
        <f>'Assumptions'!$B$25*$B6</f>
        <v>14700</v>
      </c>
      <c r="D6" s="11">
        <f>'Assumptions'!$B$25*$B6</f>
        <v>14700</v>
      </c>
      <c r="E6" s="11">
        <f>'Assumptions'!$B$25*$B6</f>
        <v>14700</v>
      </c>
      <c r="F6" s="11">
        <f>'Assumptions'!$B$25*$B6</f>
        <v>14700</v>
      </c>
      <c r="G6" s="11">
        <f>'Assumptions'!$B$25*$B6</f>
        <v>14700</v>
      </c>
      <c r="H6" s="11">
        <f>'Assumptions'!$B$25*$B6</f>
        <v>14700</v>
      </c>
      <c r="I6" s="11">
        <f>'Assumptions'!$B$25*$B6</f>
        <v>14700</v>
      </c>
      <c r="J6" s="11">
        <f>'Assumptions'!$B$25*$B6</f>
        <v>14700</v>
      </c>
      <c r="K6" s="11">
        <f>'Assumptions'!$B$25*$B6</f>
        <v>14700</v>
      </c>
      <c r="L6" s="11">
        <f>'Assumptions'!$B$25*$B6</f>
        <v>14700</v>
      </c>
      <c r="M6" s="11">
        <f>'Assumptions'!$B$25*$B6</f>
        <v>14700</v>
      </c>
      <c r="N6" s="11">
        <f>'Assumptions'!$B$25*$B6</f>
        <v>14700</v>
      </c>
      <c r="O6" s="10">
        <f>SUM(C6:N6)</f>
        <v>176400</v>
      </c>
    </row>
    <row r="7" spans="1:15">
      <c r="A7" s="22" t="s">
        <v>148</v>
      </c>
      <c r="B7" s="49">
        <v>0.04</v>
      </c>
      <c r="C7" s="11">
        <f>'Assumptions'!$B$25*$B7</f>
        <v>800</v>
      </c>
      <c r="D7" s="11">
        <f>'Assumptions'!$B$25*$B7</f>
        <v>800</v>
      </c>
      <c r="E7" s="11">
        <f>'Assumptions'!$B$25*$B7</f>
        <v>800</v>
      </c>
      <c r="F7" s="11">
        <f>'Assumptions'!$B$25*$B7</f>
        <v>800</v>
      </c>
      <c r="G7" s="11">
        <f>'Assumptions'!$B$25*$B7</f>
        <v>800</v>
      </c>
      <c r="H7" s="11">
        <f>'Assumptions'!$B$25*$B7</f>
        <v>800</v>
      </c>
      <c r="I7" s="11">
        <f>'Assumptions'!$B$25*$B7</f>
        <v>800</v>
      </c>
      <c r="J7" s="11">
        <f>'Assumptions'!$B$25*$B7</f>
        <v>800</v>
      </c>
      <c r="K7" s="11">
        <f>'Assumptions'!$B$25*$B7</f>
        <v>800</v>
      </c>
      <c r="L7" s="11">
        <f>'Assumptions'!$B$25*$B7</f>
        <v>800</v>
      </c>
      <c r="M7" s="11">
        <f>'Assumptions'!$B$25*$B7</f>
        <v>800</v>
      </c>
      <c r="N7" s="11">
        <f>'Assumptions'!$B$25*$B7</f>
        <v>800</v>
      </c>
      <c r="O7" s="10">
        <f>SUM(C7:N7)</f>
        <v>9600</v>
      </c>
    </row>
    <row r="8" spans="1:15">
      <c r="A8" s="22" t="s">
        <v>69</v>
      </c>
      <c r="B8" s="49">
        <v>0.06</v>
      </c>
      <c r="C8" s="11">
        <f>'Assumptions'!$B$25*$B8</f>
        <v>1200</v>
      </c>
      <c r="D8" s="11">
        <f>'Assumptions'!$B$25*$B8</f>
        <v>1200</v>
      </c>
      <c r="E8" s="11">
        <f>'Assumptions'!$B$25*$B8</f>
        <v>1200</v>
      </c>
      <c r="F8" s="11">
        <f>'Assumptions'!$B$25*$B8</f>
        <v>1200</v>
      </c>
      <c r="G8" s="11">
        <f>'Assumptions'!$B$25*$B8</f>
        <v>1200</v>
      </c>
      <c r="H8" s="11">
        <f>'Assumptions'!$B$25*$B8</f>
        <v>1200</v>
      </c>
      <c r="I8" s="11">
        <f>'Assumptions'!$B$25*$B8</f>
        <v>1200</v>
      </c>
      <c r="J8" s="11">
        <f>'Assumptions'!$B$25*$B8</f>
        <v>1200</v>
      </c>
      <c r="K8" s="11">
        <f>'Assumptions'!$B$25*$B8</f>
        <v>1200</v>
      </c>
      <c r="L8" s="11">
        <f>'Assumptions'!$B$25*$B8</f>
        <v>1200</v>
      </c>
      <c r="M8" s="11">
        <f>'Assumptions'!$B$25*$B8</f>
        <v>1200</v>
      </c>
      <c r="N8" s="11">
        <f>'Assumptions'!$B$25*$B8</f>
        <v>1200</v>
      </c>
      <c r="O8" s="10">
        <f>SUM(C8:N8)</f>
        <v>14400</v>
      </c>
    </row>
    <row r="9" spans="1:15">
      <c r="A9" s="22" t="s">
        <v>70</v>
      </c>
      <c r="B9" s="49">
        <v>0.015</v>
      </c>
      <c r="C9" s="11">
        <f>'Assumptions'!$B$25*$B9</f>
        <v>300</v>
      </c>
      <c r="D9" s="11">
        <f>'Assumptions'!$B$25*$B9</f>
        <v>300</v>
      </c>
      <c r="E9" s="11">
        <f>'Assumptions'!$B$25*$B9</f>
        <v>300</v>
      </c>
      <c r="F9" s="11">
        <f>'Assumptions'!$B$25*$B9</f>
        <v>300</v>
      </c>
      <c r="G9" s="11">
        <f>'Assumptions'!$B$25*$B9</f>
        <v>300</v>
      </c>
      <c r="H9" s="11">
        <f>'Assumptions'!$B$25*$B9</f>
        <v>300</v>
      </c>
      <c r="I9" s="11">
        <f>'Assumptions'!$B$25*$B9</f>
        <v>300</v>
      </c>
      <c r="J9" s="11">
        <f>'Assumptions'!$B$25*$B9</f>
        <v>300</v>
      </c>
      <c r="K9" s="11">
        <f>'Assumptions'!$B$25*$B9</f>
        <v>300</v>
      </c>
      <c r="L9" s="11">
        <f>'Assumptions'!$B$25*$B9</f>
        <v>300</v>
      </c>
      <c r="M9" s="11">
        <f>'Assumptions'!$B$25*$B9</f>
        <v>300</v>
      </c>
      <c r="N9" s="11">
        <f>'Assumptions'!$B$25*$B9</f>
        <v>300</v>
      </c>
      <c r="O9" s="10">
        <f>SUM(C9:N9)</f>
        <v>3600</v>
      </c>
    </row>
    <row r="10" spans="1:15">
      <c r="A10" s="22" t="s">
        <v>71</v>
      </c>
      <c r="B10" s="49">
        <v>0.09</v>
      </c>
      <c r="C10" s="11">
        <f>'Assumptions'!$B$25*$B10</f>
        <v>1800</v>
      </c>
      <c r="D10" s="11">
        <f>'Assumptions'!$B$25*$B10</f>
        <v>1800</v>
      </c>
      <c r="E10" s="11">
        <f>'Assumptions'!$B$25*$B10</f>
        <v>1800</v>
      </c>
      <c r="F10" s="11">
        <f>'Assumptions'!$B$25*$B10</f>
        <v>1800</v>
      </c>
      <c r="G10" s="11">
        <f>'Assumptions'!$B$25*$B10</f>
        <v>1800</v>
      </c>
      <c r="H10" s="11">
        <f>'Assumptions'!$B$25*$B10</f>
        <v>1800</v>
      </c>
      <c r="I10" s="11">
        <f>'Assumptions'!$B$25*$B10</f>
        <v>1800</v>
      </c>
      <c r="J10" s="11">
        <f>'Assumptions'!$B$25*$B10</f>
        <v>1800</v>
      </c>
      <c r="K10" s="11">
        <f>'Assumptions'!$B$25*$B10</f>
        <v>1800</v>
      </c>
      <c r="L10" s="11">
        <f>'Assumptions'!$B$25*$B10</f>
        <v>1800</v>
      </c>
      <c r="M10" s="11">
        <f>'Assumptions'!$B$25*$B10</f>
        <v>1800</v>
      </c>
      <c r="N10" s="11">
        <f>'Assumptions'!$B$25*$B10</f>
        <v>1800</v>
      </c>
      <c r="O10" s="10">
        <f>SUM(C10:N10)</f>
        <v>21600</v>
      </c>
    </row>
    <row r="11" spans="1:15">
      <c r="A11" s="22" t="s">
        <v>72</v>
      </c>
      <c r="B11" s="49">
        <v>0.025</v>
      </c>
      <c r="C11" s="11">
        <f>'Assumptions'!$B$25*$B11</f>
        <v>500</v>
      </c>
      <c r="D11" s="11">
        <f>'Assumptions'!$B$25*$B11</f>
        <v>500</v>
      </c>
      <c r="E11" s="11">
        <f>'Assumptions'!$B$25*$B11</f>
        <v>500</v>
      </c>
      <c r="F11" s="11">
        <f>'Assumptions'!$B$25*$B11</f>
        <v>500</v>
      </c>
      <c r="G11" s="11">
        <f>'Assumptions'!$B$25*$B11</f>
        <v>500</v>
      </c>
      <c r="H11" s="11">
        <f>'Assumptions'!$B$25*$B11</f>
        <v>500</v>
      </c>
      <c r="I11" s="11">
        <f>'Assumptions'!$B$25*$B11</f>
        <v>500</v>
      </c>
      <c r="J11" s="11">
        <f>'Assumptions'!$B$25*$B11</f>
        <v>500</v>
      </c>
      <c r="K11" s="11">
        <f>'Assumptions'!$B$25*$B11</f>
        <v>500</v>
      </c>
      <c r="L11" s="11">
        <f>'Assumptions'!$B$25*$B11</f>
        <v>500</v>
      </c>
      <c r="M11" s="11">
        <f>'Assumptions'!$B$25*$B11</f>
        <v>500</v>
      </c>
      <c r="N11" s="11">
        <f>'Assumptions'!$B$25*$B11</f>
        <v>500</v>
      </c>
      <c r="O11" s="10">
        <f>SUM(C11:N11)</f>
        <v>6000</v>
      </c>
    </row>
    <row r="12" spans="1:15">
      <c r="A12" s="22" t="s">
        <v>73</v>
      </c>
      <c r="B12" s="49">
        <v>0.005</v>
      </c>
      <c r="C12" s="11">
        <f>'Assumptions'!$B$25*$B12</f>
        <v>100</v>
      </c>
      <c r="D12" s="11">
        <f>'Assumptions'!$B$25*$B12</f>
        <v>100</v>
      </c>
      <c r="E12" s="11">
        <f>'Assumptions'!$B$25*$B12</f>
        <v>100</v>
      </c>
      <c r="F12" s="11">
        <f>'Assumptions'!$B$25*$B12</f>
        <v>100</v>
      </c>
      <c r="G12" s="11">
        <f>'Assumptions'!$B$25*$B12</f>
        <v>100</v>
      </c>
      <c r="H12" s="11">
        <f>'Assumptions'!$B$25*$B12</f>
        <v>100</v>
      </c>
      <c r="I12" s="11">
        <f>'Assumptions'!$B$25*$B12</f>
        <v>100</v>
      </c>
      <c r="J12" s="11">
        <f>'Assumptions'!$B$25*$B12</f>
        <v>100</v>
      </c>
      <c r="K12" s="11">
        <f>'Assumptions'!$B$25*$B12</f>
        <v>100</v>
      </c>
      <c r="L12" s="11">
        <f>'Assumptions'!$B$25*$B12</f>
        <v>100</v>
      </c>
      <c r="M12" s="11">
        <f>'Assumptions'!$B$25*$B12</f>
        <v>100</v>
      </c>
      <c r="N12" s="11">
        <f>'Assumptions'!$B$25*$B12</f>
        <v>100</v>
      </c>
      <c r="O12" s="10">
        <f>SUM(C12:N12)</f>
        <v>1200</v>
      </c>
    </row>
    <row r="13" spans="1:15">
      <c r="A13" s="22" t="s">
        <v>74</v>
      </c>
      <c r="B13" s="49">
        <v>0.005</v>
      </c>
      <c r="C13" s="11">
        <f>'Assumptions'!$B$25*$B13</f>
        <v>100</v>
      </c>
      <c r="D13" s="11">
        <f>'Assumptions'!$B$25*$B13</f>
        <v>100</v>
      </c>
      <c r="E13" s="11">
        <f>'Assumptions'!$B$25*$B13</f>
        <v>100</v>
      </c>
      <c r="F13" s="11">
        <f>'Assumptions'!$B$25*$B13</f>
        <v>100</v>
      </c>
      <c r="G13" s="11">
        <f>'Assumptions'!$B$25*$B13</f>
        <v>100</v>
      </c>
      <c r="H13" s="11">
        <f>'Assumptions'!$B$25*$B13</f>
        <v>100</v>
      </c>
      <c r="I13" s="11">
        <f>'Assumptions'!$B$25*$B13</f>
        <v>100</v>
      </c>
      <c r="J13" s="11">
        <f>'Assumptions'!$B$25*$B13</f>
        <v>100</v>
      </c>
      <c r="K13" s="11">
        <f>'Assumptions'!$B$25*$B13</f>
        <v>100</v>
      </c>
      <c r="L13" s="11">
        <f>'Assumptions'!$B$25*$B13</f>
        <v>100</v>
      </c>
      <c r="M13" s="11">
        <f>'Assumptions'!$B$25*$B13</f>
        <v>100</v>
      </c>
      <c r="N13" s="11">
        <f>'Assumptions'!$B$25*$B13</f>
        <v>100</v>
      </c>
      <c r="O13" s="10">
        <f>SUM(C13:N13)</f>
        <v>1200</v>
      </c>
    </row>
    <row r="14" spans="1:15">
      <c r="A14" s="22" t="s">
        <v>75</v>
      </c>
      <c r="B14" s="49">
        <v>0.005</v>
      </c>
      <c r="C14" s="11">
        <f>'Assumptions'!$B$25*$B14</f>
        <v>100</v>
      </c>
      <c r="D14" s="11">
        <f>'Assumptions'!$B$25*$B14</f>
        <v>100</v>
      </c>
      <c r="E14" s="11">
        <f>'Assumptions'!$B$25*$B14</f>
        <v>100</v>
      </c>
      <c r="F14" s="11">
        <f>'Assumptions'!$B$25*$B14</f>
        <v>100</v>
      </c>
      <c r="G14" s="11">
        <f>'Assumptions'!$B$25*$B14</f>
        <v>100</v>
      </c>
      <c r="H14" s="11">
        <f>'Assumptions'!$B$25*$B14</f>
        <v>100</v>
      </c>
      <c r="I14" s="11">
        <f>'Assumptions'!$B$25*$B14</f>
        <v>100</v>
      </c>
      <c r="J14" s="11">
        <f>'Assumptions'!$B$25*$B14</f>
        <v>100</v>
      </c>
      <c r="K14" s="11">
        <f>'Assumptions'!$B$25*$B14</f>
        <v>100</v>
      </c>
      <c r="L14" s="11">
        <f>'Assumptions'!$B$25*$B14</f>
        <v>100</v>
      </c>
      <c r="M14" s="11">
        <f>'Assumptions'!$B$25*$B14</f>
        <v>100</v>
      </c>
      <c r="N14" s="11">
        <f>'Assumptions'!$B$25*$B14</f>
        <v>100</v>
      </c>
      <c r="O14" s="10">
        <f>SUM(C14:N14)</f>
        <v>1200</v>
      </c>
    </row>
    <row r="15" spans="1:15">
      <c r="A15" s="22" t="s">
        <v>76</v>
      </c>
      <c r="B15" s="49">
        <v>0.005</v>
      </c>
      <c r="C15" s="11">
        <f>'Assumptions'!$B$25*$B15</f>
        <v>100</v>
      </c>
      <c r="D15" s="11">
        <f>'Assumptions'!$B$25*$B15</f>
        <v>100</v>
      </c>
      <c r="E15" s="11">
        <f>'Assumptions'!$B$25*$B15</f>
        <v>100</v>
      </c>
      <c r="F15" s="11">
        <f>'Assumptions'!$B$25*$B15</f>
        <v>100</v>
      </c>
      <c r="G15" s="11">
        <f>'Assumptions'!$B$25*$B15</f>
        <v>100</v>
      </c>
      <c r="H15" s="11">
        <f>'Assumptions'!$B$25*$B15</f>
        <v>100</v>
      </c>
      <c r="I15" s="11">
        <f>'Assumptions'!$B$25*$B15</f>
        <v>100</v>
      </c>
      <c r="J15" s="11">
        <f>'Assumptions'!$B$25*$B15</f>
        <v>100</v>
      </c>
      <c r="K15" s="11">
        <f>'Assumptions'!$B$25*$B15</f>
        <v>100</v>
      </c>
      <c r="L15" s="11">
        <f>'Assumptions'!$B$25*$B15</f>
        <v>100</v>
      </c>
      <c r="M15" s="11">
        <f>'Assumptions'!$B$25*$B15</f>
        <v>100</v>
      </c>
      <c r="N15" s="11">
        <f>'Assumptions'!$B$25*$B15</f>
        <v>100</v>
      </c>
      <c r="O15" s="10">
        <f>SUM(C15:N15)</f>
        <v>1200</v>
      </c>
    </row>
    <row r="16" spans="1:15">
      <c r="A16" s="22" t="s">
        <v>77</v>
      </c>
      <c r="B16" s="49">
        <v>0.015</v>
      </c>
      <c r="C16" s="11">
        <f>'Assumptions'!$B$25*$B16</f>
        <v>300</v>
      </c>
      <c r="D16" s="11">
        <f>'Assumptions'!$B$25*$B16</f>
        <v>300</v>
      </c>
      <c r="E16" s="11">
        <f>'Assumptions'!$B$25*$B16</f>
        <v>300</v>
      </c>
      <c r="F16" s="11">
        <f>'Assumptions'!$B$25*$B16</f>
        <v>300</v>
      </c>
      <c r="G16" s="11">
        <f>'Assumptions'!$B$25*$B16</f>
        <v>300</v>
      </c>
      <c r="H16" s="11">
        <f>'Assumptions'!$B$25*$B16</f>
        <v>300</v>
      </c>
      <c r="I16" s="11">
        <f>'Assumptions'!$B$25*$B16</f>
        <v>300</v>
      </c>
      <c r="J16" s="11">
        <f>'Assumptions'!$B$25*$B16</f>
        <v>300</v>
      </c>
      <c r="K16" s="11">
        <f>'Assumptions'!$B$25*$B16</f>
        <v>300</v>
      </c>
      <c r="L16" s="11">
        <f>'Assumptions'!$B$25*$B16</f>
        <v>300</v>
      </c>
      <c r="M16" s="11">
        <f>'Assumptions'!$B$25*$B16</f>
        <v>300</v>
      </c>
      <c r="N16" s="11">
        <f>'Assumptions'!$B$25*$B16</f>
        <v>300</v>
      </c>
      <c r="O16" s="10">
        <f>SUM(C16:N16)</f>
        <v>3600</v>
      </c>
    </row>
    <row r="17" spans="1:15">
      <c r="A17" s="28" t="s">
        <v>300</v>
      </c>
      <c r="B17" s="30">
        <f>SUM(B6:B16)</f>
        <v>1</v>
      </c>
      <c r="C17" s="33">
        <f>SUM(C6:C16)</f>
        <v>20000</v>
      </c>
      <c r="D17" s="33">
        <f>SUM(D6:D16)</f>
        <v>20000</v>
      </c>
      <c r="E17" s="33">
        <f>SUM(E6:E16)</f>
        <v>20000</v>
      </c>
      <c r="F17" s="33">
        <f>SUM(F6:F16)</f>
        <v>20000</v>
      </c>
      <c r="G17" s="33">
        <f>SUM(G6:G16)</f>
        <v>20000</v>
      </c>
      <c r="H17" s="33">
        <f>SUM(H6:H16)</f>
        <v>20000</v>
      </c>
      <c r="I17" s="33">
        <f>SUM(I6:I16)</f>
        <v>20000</v>
      </c>
      <c r="J17" s="33">
        <f>SUM(J6:J16)</f>
        <v>20000</v>
      </c>
      <c r="K17" s="33">
        <f>SUM(K6:K16)</f>
        <v>20000</v>
      </c>
      <c r="L17" s="33">
        <f>SUM(L6:L16)</f>
        <v>20000</v>
      </c>
      <c r="M17" s="33">
        <f>SUM(M6:M16)</f>
        <v>20000</v>
      </c>
      <c r="N17" s="33">
        <f>SUM(N6:N16)</f>
        <v>20000</v>
      </c>
      <c r="O17" s="33">
        <f>SUM(C17:N17)</f>
        <v>240000</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16.xml><?xml version="1.0" encoding="utf-8"?>
<worksheet xmlns="http://schemas.openxmlformats.org/spreadsheetml/2006/main" xmlns:r="http://schemas.openxmlformats.org/officeDocument/2006/relationships">
  <sheetPr>
    <tabColor rgb="FFFFC000"/>
    <pageSetUpPr fitToPage="1"/>
  </sheetPr>
  <dimension ref="A1:E38"/>
  <sheetViews>
    <sheetView workbookViewId="0"/>
  </sheetViews>
  <sheetFormatPr defaultRowHeight="15"/>
  <cols>
    <col min="1" max="1" width="70.7109375" customWidth="1"/>
    <col min="2" max="5" width="13.7109375" customWidth="1"/>
  </cols>
  <sheetData>
    <row r="1" spans="1:2">
      <c r="A1" s="15" t="s">
        <v>33</v>
      </c>
    </row>
    <row r="2" spans="1:2">
      <c r="A2" s="17" t="s">
        <v>301</v>
      </c>
    </row>
    <row r="3" spans="1:2">
      <c r="A3" s="18" t="s">
        <v>140</v>
      </c>
    </row>
    <row r="5" spans="1:2">
      <c r="A5" s="20" t="s">
        <v>302</v>
      </c>
    </row>
    <row r="6" spans="1:2">
      <c r="A6" s="22" t="s">
        <v>302</v>
      </c>
      <c r="B6" s="50" t="s">
        <v>0</v>
      </c>
    </row>
    <row r="7" spans="1:2">
      <c r="A7" s="22" t="s">
        <v>303</v>
      </c>
      <c r="B7" s="51">
        <v>2025</v>
      </c>
    </row>
    <row r="9" spans="1:2">
      <c r="A9" s="20" t="s">
        <v>304</v>
      </c>
    </row>
    <row r="10" spans="1:2">
      <c r="A10" s="22" t="s">
        <v>89</v>
      </c>
      <c r="B10" s="12">
        <v>9000</v>
      </c>
    </row>
    <row r="11" spans="1:2">
      <c r="A11" s="22" t="s">
        <v>90</v>
      </c>
      <c r="B11" s="12">
        <v>2374</v>
      </c>
    </row>
    <row r="12" spans="1:2">
      <c r="A12" s="22" t="s">
        <v>91</v>
      </c>
      <c r="B12" s="12">
        <v>700</v>
      </c>
    </row>
    <row r="13" spans="1:2">
      <c r="A13" s="22" t="s">
        <v>305</v>
      </c>
      <c r="B13" s="12">
        <v>0</v>
      </c>
    </row>
    <row r="14" spans="1:2">
      <c r="A14" s="22" t="s">
        <v>306</v>
      </c>
      <c r="B14" s="12">
        <v>0</v>
      </c>
    </row>
    <row r="15" spans="1:2">
      <c r="A15" s="22" t="s">
        <v>97</v>
      </c>
      <c r="B15" s="12">
        <v>8019</v>
      </c>
    </row>
    <row r="16" spans="1:2">
      <c r="A16" s="22" t="s">
        <v>98</v>
      </c>
      <c r="B16" s="12">
        <v>708</v>
      </c>
    </row>
    <row r="17" spans="1:2">
      <c r="A17" s="22" t="s">
        <v>307</v>
      </c>
      <c r="B17" s="10">
        <f>B10+B11+B12+B13-B14-B15-B16</f>
        <v>3347</v>
      </c>
    </row>
    <row r="19" spans="1:2">
      <c r="A19" s="20" t="s">
        <v>308</v>
      </c>
    </row>
    <row r="20" spans="1:2">
      <c r="A20" s="22" t="s">
        <v>309</v>
      </c>
      <c r="B20" s="51">
        <v>3</v>
      </c>
    </row>
    <row r="21" spans="1:2">
      <c r="A21" s="22" t="s">
        <v>310</v>
      </c>
      <c r="B21" s="51">
        <v>15</v>
      </c>
    </row>
    <row r="22" spans="1:2">
      <c r="A22" s="22" t="s">
        <v>311</v>
      </c>
      <c r="B22" s="51">
        <v>3</v>
      </c>
    </row>
    <row r="24" spans="1:2">
      <c r="A24" s="20" t="s">
        <v>31</v>
      </c>
    </row>
    <row r="25" spans="1:2">
      <c r="A25" s="22" t="s">
        <v>312</v>
      </c>
      <c r="B25" s="52">
        <v>20000</v>
      </c>
    </row>
    <row r="27" spans="1:2">
      <c r="A27" s="20" t="s">
        <v>313</v>
      </c>
    </row>
    <row r="28" spans="1:2">
      <c r="A28" s="22" t="s">
        <v>314</v>
      </c>
      <c r="B28" s="41">
        <f>IFERROR(SUM('Monthly P&amp;L'!O22:O26)/'Monthly P&amp;L'!O11,0)</f>
        <v>0.220979522100295</v>
      </c>
    </row>
    <row r="29" spans="1:2">
      <c r="A29" s="22" t="s">
        <v>315</v>
      </c>
      <c r="B29" s="11">
        <f>SUM('Monthly P&amp;L'!O27:O30)/12</f>
        <v>317.305833333333</v>
      </c>
    </row>
    <row r="31" spans="1:2">
      <c r="A31" s="20" t="s">
        <v>316</v>
      </c>
    </row>
    <row r="32" spans="1:2">
      <c r="A32" s="22" t="s">
        <v>317</v>
      </c>
      <c r="B32" s="51">
        <v>1</v>
      </c>
    </row>
    <row r="33" spans="1:5">
      <c r="A33" s="6" t="s">
        <v>318</v>
      </c>
      <c r="B33" s="31" t="s">
        <v>319</v>
      </c>
      <c r="C33" s="31" t="s">
        <v>320</v>
      </c>
      <c r="D33" s="31" t="s">
        <v>321</v>
      </c>
      <c r="E33" s="31" t="s">
        <v>322</v>
      </c>
    </row>
    <row r="34" spans="1:5">
      <c r="A34" s="22" t="s">
        <v>323</v>
      </c>
      <c r="B34" s="49">
        <v>0.1</v>
      </c>
      <c r="C34" s="49">
        <v>0.2</v>
      </c>
      <c r="D34" s="49">
        <v>-0.05</v>
      </c>
      <c r="E34" s="53">
        <f>CHOOSE($B$32,B34,C34,D34)</f>
        <v>0.1</v>
      </c>
    </row>
    <row r="35" spans="1:5">
      <c r="A35" s="22" t="s">
        <v>324</v>
      </c>
      <c r="B35" s="49">
        <v>0.005</v>
      </c>
      <c r="C35" s="49">
        <v>0.015</v>
      </c>
      <c r="D35" s="49">
        <v>-0.01</v>
      </c>
      <c r="E35" s="53">
        <f>CHOOSE($B$32,B35,C35,D35)</f>
        <v>0.005</v>
      </c>
    </row>
    <row r="36" spans="1:5">
      <c r="A36" s="22" t="s">
        <v>325</v>
      </c>
      <c r="B36" s="49">
        <v>0.05</v>
      </c>
      <c r="C36" s="49">
        <v>0.08</v>
      </c>
      <c r="D36" s="49">
        <v>0.03</v>
      </c>
      <c r="E36" s="53">
        <f>CHOOSE($B$32,B36,C36,D36)</f>
        <v>0.05</v>
      </c>
    </row>
    <row r="37" spans="1:5">
      <c r="A37" s="22" t="s">
        <v>326</v>
      </c>
      <c r="B37" s="12">
        <v>800</v>
      </c>
      <c r="C37" s="12">
        <v>1000</v>
      </c>
      <c r="D37" s="12">
        <v>500</v>
      </c>
      <c r="E37" s="54">
        <f>CHOOSE($B$32,B37,C37,D37)</f>
        <v>800</v>
      </c>
    </row>
    <row r="38" spans="1:5">
      <c r="A38" s="22" t="s">
        <v>327</v>
      </c>
      <c r="B38" s="12">
        <v>1200</v>
      </c>
      <c r="C38" s="12">
        <v>2500</v>
      </c>
      <c r="D38" s="12">
        <v>0</v>
      </c>
      <c r="E38" s="54">
        <f>CHOOSE($B$32,B38,C38,D38)</f>
        <v>1200</v>
      </c>
    </row>
  </sheetData>
  <dataValidations count="1">
    <dataValidation type="list" allowBlank="1" showInputMessage="1" showErrorMessage="1" sqref="B32">
      <formula1>"1,2,3"</formula1>
    </dataValidation>
  </dataValidations>
  <pageMargins left="0.4" right="0.4" top="0.5" bottom="0.5" header="0.3" footer="0.3"/>
  <pageSetup paperSize="1" fitToHeight="0" orientation="landscape"/>
  <headerFooter>
    <oddFooter>&amp;L&amp;8Escentials LLC · FY2025 · Illustrative figures&amp;R&amp;8&amp;A</oddFooter>
  </headerFooter>
</worksheet>
</file>

<file path=xl/worksheets/sheet17.xml><?xml version="1.0" encoding="utf-8"?>
<worksheet xmlns="http://schemas.openxmlformats.org/spreadsheetml/2006/main" xmlns:r="http://schemas.openxmlformats.org/officeDocument/2006/relationships">
  <sheetPr>
    <tabColor rgb="FFA5A5A5"/>
    <pageSetUpPr fitToPage="1"/>
  </sheetPr>
  <dimension ref="A1:O47"/>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4.7109375" customWidth="1"/>
    <col min="2" max="2" width="1.7109375" hidden="1" customWidth="1"/>
    <col min="3" max="14" width="10.28515625" customWidth="1"/>
    <col min="15" max="15" width="11.7109375" customWidth="1"/>
  </cols>
  <sheetData>
    <row r="1" spans="1:15">
      <c r="A1" s="15" t="s">
        <v>35</v>
      </c>
    </row>
    <row r="2" spans="1:15">
      <c r="A2" s="17" t="s">
        <v>328</v>
      </c>
    </row>
    <row r="3" spans="1:15">
      <c r="A3" s="18" t="s">
        <v>140</v>
      </c>
    </row>
    <row r="4" spans="1:15">
      <c r="A4" s="6" t="s">
        <v>58</v>
      </c>
      <c r="C4" s="36">
        <v>45688</v>
      </c>
      <c r="D4" s="36">
        <v>45716</v>
      </c>
      <c r="E4" s="36">
        <v>45747</v>
      </c>
      <c r="F4" s="36">
        <v>45777</v>
      </c>
      <c r="G4" s="36">
        <v>45808</v>
      </c>
      <c r="H4" s="36">
        <v>45838</v>
      </c>
      <c r="I4" s="36">
        <v>45869</v>
      </c>
      <c r="J4" s="36">
        <v>45900</v>
      </c>
      <c r="K4" s="36">
        <v>45930</v>
      </c>
      <c r="L4" s="36">
        <v>45961</v>
      </c>
      <c r="M4" s="36">
        <v>45991</v>
      </c>
      <c r="N4" s="36">
        <v>46022</v>
      </c>
      <c r="O4" s="31" t="s">
        <v>165</v>
      </c>
    </row>
    <row r="5" spans="1:15">
      <c r="A5" s="20" t="s">
        <v>329</v>
      </c>
      <c r="C5" s="10"/>
      <c r="D5" s="10"/>
      <c r="E5" s="10"/>
      <c r="F5" s="10"/>
      <c r="G5" s="10"/>
      <c r="H5" s="10"/>
      <c r="I5" s="10"/>
      <c r="J5" s="10"/>
      <c r="K5" s="10"/>
      <c r="L5" s="10"/>
      <c r="M5" s="10"/>
      <c r="N5" s="10"/>
      <c r="O5" s="10"/>
    </row>
    <row r="6" spans="1:15">
      <c r="A6" s="22" t="s">
        <v>260</v>
      </c>
      <c r="C6" s="9">
        <v>7868.76</v>
      </c>
      <c r="D6" s="9">
        <v>10203.63</v>
      </c>
      <c r="E6" s="9">
        <v>7998.73</v>
      </c>
      <c r="F6" s="9">
        <v>9112.120000000001</v>
      </c>
      <c r="G6" s="9">
        <v>9220.82</v>
      </c>
      <c r="H6" s="9">
        <v>9203.27</v>
      </c>
      <c r="I6" s="9">
        <v>9009.83</v>
      </c>
      <c r="J6" s="9">
        <v>8318.08</v>
      </c>
      <c r="K6" s="9">
        <v>6705.48</v>
      </c>
      <c r="L6" s="9">
        <v>8742.809999999999</v>
      </c>
      <c r="M6" s="9">
        <v>13018.48</v>
      </c>
      <c r="N6" s="9">
        <v>17077.67</v>
      </c>
      <c r="O6" s="10">
        <f>SUM(C6:N6)</f>
        <v>116479.68</v>
      </c>
    </row>
    <row r="7" spans="1:15">
      <c r="A7" s="22" t="s">
        <v>261</v>
      </c>
      <c r="C7" s="9">
        <v>5372.97</v>
      </c>
      <c r="D7" s="9">
        <v>7371.53</v>
      </c>
      <c r="E7" s="9">
        <v>7055.8</v>
      </c>
      <c r="F7" s="9">
        <v>5360.45</v>
      </c>
      <c r="G7" s="9">
        <v>6625.56</v>
      </c>
      <c r="H7" s="9">
        <v>7295.16</v>
      </c>
      <c r="I7" s="9">
        <v>4760.62</v>
      </c>
      <c r="J7" s="9">
        <v>5839</v>
      </c>
      <c r="K7" s="9">
        <v>7104.87</v>
      </c>
      <c r="L7" s="9">
        <v>6761.88</v>
      </c>
      <c r="M7" s="9">
        <v>10746.63</v>
      </c>
      <c r="N7" s="9">
        <v>10181.47</v>
      </c>
      <c r="O7" s="10">
        <f>SUM(C7:N7)</f>
        <v>84475.94</v>
      </c>
    </row>
    <row r="8" spans="1:15">
      <c r="A8" s="22" t="s">
        <v>237</v>
      </c>
      <c r="C8" s="9">
        <v>11296.84</v>
      </c>
      <c r="D8" s="9">
        <v>15205.69</v>
      </c>
      <c r="E8" s="9">
        <v>13065.68</v>
      </c>
      <c r="F8" s="9">
        <v>12358.76</v>
      </c>
      <c r="G8" s="9">
        <v>13444.91</v>
      </c>
      <c r="H8" s="9">
        <v>14073</v>
      </c>
      <c r="I8" s="9">
        <v>11657.72</v>
      </c>
      <c r="J8" s="9">
        <v>12239.19</v>
      </c>
      <c r="K8" s="9">
        <v>11458.81</v>
      </c>
      <c r="L8" s="9">
        <v>12926.39</v>
      </c>
      <c r="M8" s="9">
        <v>20378.83</v>
      </c>
      <c r="N8" s="9">
        <v>22850.79</v>
      </c>
      <c r="O8" s="10">
        <f>SUM(C8:N8)</f>
        <v>170956.61</v>
      </c>
    </row>
    <row r="9" spans="1:15">
      <c r="A9" s="22" t="s">
        <v>330</v>
      </c>
      <c r="C9" s="9">
        <v>597.3200000000001</v>
      </c>
      <c r="D9" s="9">
        <v>697.22</v>
      </c>
      <c r="E9" s="9">
        <v>587.33</v>
      </c>
      <c r="F9" s="9">
        <v>597.3200000000001</v>
      </c>
      <c r="G9" s="9">
        <v>615.3099999999999</v>
      </c>
      <c r="H9" s="9">
        <v>519.42</v>
      </c>
      <c r="I9" s="9">
        <v>489.44</v>
      </c>
      <c r="J9" s="9">
        <v>515.41</v>
      </c>
      <c r="K9" s="9">
        <v>541.38</v>
      </c>
      <c r="L9" s="9">
        <v>549.37</v>
      </c>
      <c r="M9" s="9">
        <v>976.9</v>
      </c>
      <c r="N9" s="9">
        <v>1056.8</v>
      </c>
      <c r="O9" s="10">
        <f>SUM(C9:N9)</f>
        <v>7743.22</v>
      </c>
    </row>
    <row r="10" spans="1:15">
      <c r="A10" s="22" t="s">
        <v>331</v>
      </c>
      <c r="C10" s="9">
        <v>1347.57</v>
      </c>
      <c r="D10" s="9">
        <v>1672.25</v>
      </c>
      <c r="E10" s="9">
        <v>1401.52</v>
      </c>
      <c r="F10" s="9">
        <v>1516.49</v>
      </c>
      <c r="G10" s="9">
        <v>1786.16</v>
      </c>
      <c r="H10" s="9">
        <v>1906.01</v>
      </c>
      <c r="I10" s="9">
        <v>1623.29</v>
      </c>
      <c r="J10" s="9">
        <v>1402.48</v>
      </c>
      <c r="K10" s="9">
        <v>1810.16</v>
      </c>
      <c r="L10" s="9">
        <v>2028.93</v>
      </c>
      <c r="M10" s="9">
        <v>2409.38</v>
      </c>
      <c r="N10" s="9">
        <v>3351.55</v>
      </c>
      <c r="O10" s="10">
        <f>SUM(C10:N10)</f>
        <v>22255.79</v>
      </c>
    </row>
    <row r="11" spans="1:15">
      <c r="A11" s="22" t="s">
        <v>332</v>
      </c>
      <c r="C11" s="9">
        <v>509.15</v>
      </c>
      <c r="D11" s="9">
        <v>616.97</v>
      </c>
      <c r="E11" s="9">
        <v>539.1</v>
      </c>
      <c r="F11" s="9">
        <v>581.03</v>
      </c>
      <c r="G11" s="9">
        <v>599</v>
      </c>
      <c r="H11" s="9">
        <v>640.9299999999999</v>
      </c>
      <c r="I11" s="9">
        <v>527.12</v>
      </c>
      <c r="J11" s="9">
        <v>479.2</v>
      </c>
      <c r="K11" s="9">
        <v>646.92</v>
      </c>
      <c r="L11" s="9">
        <v>622.96</v>
      </c>
      <c r="M11" s="9">
        <v>826.62</v>
      </c>
      <c r="N11" s="9">
        <v>1042.26</v>
      </c>
      <c r="O11" s="10">
        <f>SUM(C11:N11)</f>
        <v>7631.26</v>
      </c>
    </row>
    <row r="12" spans="1:15">
      <c r="A12" s="22" t="s">
        <v>333</v>
      </c>
      <c r="C12" s="9">
        <v>26.39</v>
      </c>
      <c r="D12" s="9">
        <v>29.91</v>
      </c>
      <c r="E12" s="9">
        <v>62.91</v>
      </c>
      <c r="F12" s="9">
        <v>57.25</v>
      </c>
      <c r="G12" s="9">
        <v>42.05</v>
      </c>
      <c r="H12" s="9">
        <v>47.6</v>
      </c>
      <c r="I12" s="9">
        <v>32.69</v>
      </c>
      <c r="J12" s="9">
        <v>20.69</v>
      </c>
      <c r="K12" s="9">
        <v>23.4</v>
      </c>
      <c r="L12" s="9">
        <v>67.36</v>
      </c>
      <c r="M12" s="9">
        <v>103.89</v>
      </c>
      <c r="N12" s="9">
        <v>84.34</v>
      </c>
      <c r="O12" s="10">
        <f>SUM(C12:N12)</f>
        <v>598.48</v>
      </c>
    </row>
    <row r="13" spans="1:15">
      <c r="A13" s="22" t="s">
        <v>334</v>
      </c>
      <c r="C13" s="9">
        <v>107.3</v>
      </c>
      <c r="D13" s="9">
        <v>775.89</v>
      </c>
      <c r="E13" s="9">
        <v>341.76</v>
      </c>
      <c r="F13" s="9">
        <v>446.78</v>
      </c>
      <c r="G13" s="9">
        <v>264.24</v>
      </c>
      <c r="H13" s="9">
        <v>130.38</v>
      </c>
      <c r="I13" s="9">
        <v>580.27</v>
      </c>
      <c r="J13" s="9">
        <v>378.86</v>
      </c>
      <c r="K13" s="9">
        <v>16.98</v>
      </c>
      <c r="L13" s="9">
        <v>457.54</v>
      </c>
      <c r="M13" s="9">
        <v>357.81</v>
      </c>
      <c r="N13" s="9">
        <v>1396.42</v>
      </c>
      <c r="O13" s="10">
        <f>SUM(C13:N13)</f>
        <v>5254.23</v>
      </c>
    </row>
    <row r="14" spans="1:15">
      <c r="A14" s="22"/>
      <c r="C14" s="10"/>
      <c r="D14" s="10"/>
      <c r="E14" s="10"/>
      <c r="F14" s="10"/>
      <c r="G14" s="10"/>
      <c r="H14" s="10"/>
      <c r="I14" s="10"/>
      <c r="J14" s="10"/>
      <c r="K14" s="10"/>
      <c r="L14" s="10"/>
      <c r="M14" s="10"/>
      <c r="N14" s="10"/>
      <c r="O14" s="10"/>
    </row>
    <row r="15" spans="1:15">
      <c r="A15" s="20" t="s">
        <v>335</v>
      </c>
      <c r="C15" s="10"/>
      <c r="D15" s="10"/>
      <c r="E15" s="10"/>
      <c r="F15" s="10"/>
      <c r="G15" s="10"/>
      <c r="H15" s="10"/>
      <c r="I15" s="10"/>
      <c r="J15" s="10"/>
      <c r="K15" s="10"/>
      <c r="L15" s="10"/>
      <c r="M15" s="10"/>
      <c r="N15" s="10"/>
      <c r="O15" s="10"/>
    </row>
    <row r="16" spans="1:15">
      <c r="A16" s="22" t="s">
        <v>336</v>
      </c>
      <c r="C16" s="9">
        <v>9101</v>
      </c>
      <c r="D16" s="9">
        <v>11657</v>
      </c>
      <c r="E16" s="9">
        <v>10357</v>
      </c>
      <c r="F16" s="9">
        <v>9648</v>
      </c>
      <c r="G16" s="9">
        <v>10645</v>
      </c>
      <c r="H16" s="9">
        <v>11308</v>
      </c>
      <c r="I16" s="9">
        <v>8929</v>
      </c>
      <c r="J16" s="9">
        <v>9590</v>
      </c>
      <c r="K16" s="9">
        <v>9201</v>
      </c>
      <c r="L16" s="9">
        <v>10062</v>
      </c>
      <c r="M16" s="9">
        <v>16201</v>
      </c>
      <c r="N16" s="9">
        <v>17307</v>
      </c>
      <c r="O16" s="10">
        <f>SUM(C16:N16)</f>
        <v>134006</v>
      </c>
    </row>
    <row r="17" spans="1:15">
      <c r="A17" s="22" t="s">
        <v>265</v>
      </c>
      <c r="C17" s="9">
        <v>424.55</v>
      </c>
      <c r="D17" s="9">
        <v>508.6</v>
      </c>
      <c r="E17" s="9">
        <v>428.65</v>
      </c>
      <c r="F17" s="9">
        <v>450.65</v>
      </c>
      <c r="G17" s="9">
        <v>515.05</v>
      </c>
      <c r="H17" s="9">
        <v>508.35</v>
      </c>
      <c r="I17" s="9">
        <v>446.6</v>
      </c>
      <c r="J17" s="9">
        <v>412.9</v>
      </c>
      <c r="K17" s="9">
        <v>499.95</v>
      </c>
      <c r="L17" s="9">
        <v>543.25</v>
      </c>
      <c r="M17" s="9">
        <v>729</v>
      </c>
      <c r="N17" s="9">
        <v>934.7</v>
      </c>
      <c r="O17" s="10">
        <f>SUM(C17:N17)</f>
        <v>6402.25</v>
      </c>
    </row>
    <row r="18" spans="1:15">
      <c r="A18" s="22"/>
      <c r="C18" s="10"/>
      <c r="D18" s="10"/>
      <c r="E18" s="10"/>
      <c r="F18" s="10"/>
      <c r="G18" s="10"/>
      <c r="H18" s="10"/>
      <c r="I18" s="10"/>
      <c r="J18" s="10"/>
      <c r="K18" s="10"/>
      <c r="L18" s="10"/>
      <c r="M18" s="10"/>
      <c r="N18" s="10"/>
      <c r="O18" s="10"/>
    </row>
    <row r="19" spans="1:15">
      <c r="A19" s="20" t="s">
        <v>337</v>
      </c>
      <c r="C19" s="10"/>
      <c r="D19" s="10"/>
      <c r="E19" s="10"/>
      <c r="F19" s="10"/>
      <c r="G19" s="10"/>
      <c r="H19" s="10"/>
      <c r="I19" s="10"/>
      <c r="J19" s="10"/>
      <c r="K19" s="10"/>
      <c r="L19" s="10"/>
      <c r="M19" s="10"/>
      <c r="N19" s="10"/>
      <c r="O19" s="10"/>
    </row>
    <row r="20" spans="1:15">
      <c r="A20" s="22" t="s">
        <v>338</v>
      </c>
      <c r="C20" s="9">
        <v>1070.6</v>
      </c>
      <c r="D20" s="9">
        <v>1389.17</v>
      </c>
      <c r="E20" s="9">
        <v>1085</v>
      </c>
      <c r="F20" s="9">
        <v>1236.16</v>
      </c>
      <c r="G20" s="9">
        <v>1257.38</v>
      </c>
      <c r="H20" s="9">
        <v>1249.43</v>
      </c>
      <c r="I20" s="9">
        <v>1225.4</v>
      </c>
      <c r="J20" s="9">
        <v>1133.33</v>
      </c>
      <c r="K20" s="9">
        <v>912.4299999999999</v>
      </c>
      <c r="L20" s="9">
        <v>1191.23</v>
      </c>
      <c r="M20" s="9">
        <v>1772.96</v>
      </c>
      <c r="N20" s="9">
        <v>2328.01</v>
      </c>
      <c r="O20" s="10">
        <f>SUM(C20:N20)</f>
        <v>15851.1</v>
      </c>
    </row>
    <row r="21" spans="1:15">
      <c r="A21" s="22" t="s">
        <v>339</v>
      </c>
      <c r="C21" s="9">
        <v>205.33</v>
      </c>
      <c r="D21" s="9">
        <v>276.92</v>
      </c>
      <c r="E21" s="9">
        <v>260.3</v>
      </c>
      <c r="F21" s="9">
        <v>209.63</v>
      </c>
      <c r="G21" s="9">
        <v>253.99</v>
      </c>
      <c r="H21" s="9">
        <v>278.32</v>
      </c>
      <c r="I21" s="9">
        <v>187.72</v>
      </c>
      <c r="J21" s="9">
        <v>219.69</v>
      </c>
      <c r="K21" s="9">
        <v>273.3</v>
      </c>
      <c r="L21" s="9">
        <v>259.74</v>
      </c>
      <c r="M21" s="9">
        <v>399.71</v>
      </c>
      <c r="N21" s="9">
        <v>399.29</v>
      </c>
      <c r="O21" s="10">
        <f>SUM(C21:N21)</f>
        <v>3223.94</v>
      </c>
    </row>
    <row r="22" spans="1:15">
      <c r="A22" s="22" t="s">
        <v>340</v>
      </c>
      <c r="C22" s="9">
        <v>1183.1</v>
      </c>
      <c r="D22" s="9">
        <v>1524.2</v>
      </c>
      <c r="E22" s="9">
        <v>1229.8</v>
      </c>
      <c r="F22" s="9">
        <v>1232.55</v>
      </c>
      <c r="G22" s="9">
        <v>1453.35</v>
      </c>
      <c r="H22" s="9">
        <v>1434.35</v>
      </c>
      <c r="I22" s="9">
        <v>1251.55</v>
      </c>
      <c r="J22" s="9">
        <v>1249.6</v>
      </c>
      <c r="K22" s="9">
        <v>1333.85</v>
      </c>
      <c r="L22" s="9">
        <v>1440.3</v>
      </c>
      <c r="M22" s="9">
        <v>2045.7</v>
      </c>
      <c r="N22" s="9">
        <v>2556.55</v>
      </c>
      <c r="O22" s="10">
        <f>SUM(C22:N22)</f>
        <v>17934.9</v>
      </c>
    </row>
    <row r="23" spans="1:15">
      <c r="A23" s="22" t="s">
        <v>341</v>
      </c>
      <c r="C23" s="9">
        <v>454.52</v>
      </c>
      <c r="D23" s="9">
        <v>508.81</v>
      </c>
      <c r="E23" s="9">
        <v>513.47</v>
      </c>
      <c r="F23" s="9">
        <v>465.48</v>
      </c>
      <c r="G23" s="9">
        <v>433.38</v>
      </c>
      <c r="H23" s="9">
        <v>412.06</v>
      </c>
      <c r="I23" s="9">
        <v>414.77</v>
      </c>
      <c r="J23" s="9">
        <v>476.4</v>
      </c>
      <c r="K23" s="9">
        <v>484.68</v>
      </c>
      <c r="L23" s="9">
        <v>393.91</v>
      </c>
      <c r="M23" s="9">
        <v>982.24</v>
      </c>
      <c r="N23" s="9">
        <v>1214.34</v>
      </c>
      <c r="O23" s="10">
        <f>SUM(C23:N23)</f>
        <v>6754.06</v>
      </c>
    </row>
    <row r="24" spans="1:15">
      <c r="A24" s="22" t="s">
        <v>342</v>
      </c>
      <c r="C24" s="9">
        <v>68.90000000000001</v>
      </c>
      <c r="D24" s="9">
        <v>85.8</v>
      </c>
      <c r="E24" s="9">
        <v>70.2</v>
      </c>
      <c r="F24" s="9">
        <v>73.45</v>
      </c>
      <c r="G24" s="9">
        <v>85.15000000000001</v>
      </c>
      <c r="H24" s="9">
        <v>85.15000000000001</v>
      </c>
      <c r="I24" s="9">
        <v>73.45</v>
      </c>
      <c r="J24" s="9">
        <v>68.90000000000001</v>
      </c>
      <c r="K24" s="9">
        <v>78.65000000000001</v>
      </c>
      <c r="L24" s="9">
        <v>83.2</v>
      </c>
      <c r="M24" s="9">
        <v>118.3</v>
      </c>
      <c r="N24" s="9">
        <v>144.95</v>
      </c>
      <c r="O24" s="10">
        <f>SUM(C24:N24)</f>
        <v>1036.1</v>
      </c>
    </row>
    <row r="25" spans="1:15">
      <c r="A25" s="22" t="s">
        <v>74</v>
      </c>
      <c r="C25" s="9">
        <v>75.2</v>
      </c>
      <c r="D25" s="9">
        <v>75.2</v>
      </c>
      <c r="E25" s="9">
        <v>97.2</v>
      </c>
      <c r="F25" s="9">
        <v>75.2</v>
      </c>
      <c r="G25" s="9">
        <v>75.2</v>
      </c>
      <c r="H25" s="9">
        <v>75.2</v>
      </c>
      <c r="I25" s="9">
        <v>75.2</v>
      </c>
      <c r="J25" s="9">
        <v>75.2</v>
      </c>
      <c r="K25" s="9">
        <v>75.2</v>
      </c>
      <c r="L25" s="9">
        <v>75.2</v>
      </c>
      <c r="M25" s="9">
        <v>75.2</v>
      </c>
      <c r="N25" s="9">
        <v>75.2</v>
      </c>
      <c r="O25" s="10">
        <f>SUM(C25:N25)</f>
        <v>924.4</v>
      </c>
    </row>
    <row r="26" spans="1:15">
      <c r="A26" s="22" t="s">
        <v>75</v>
      </c>
      <c r="C26" s="9">
        <v>0</v>
      </c>
      <c r="D26" s="9">
        <v>0</v>
      </c>
      <c r="E26" s="9">
        <v>950</v>
      </c>
      <c r="F26" s="9">
        <v>0</v>
      </c>
      <c r="G26" s="9">
        <v>0</v>
      </c>
      <c r="H26" s="9">
        <v>20</v>
      </c>
      <c r="I26" s="9">
        <v>0</v>
      </c>
      <c r="J26" s="9">
        <v>0</v>
      </c>
      <c r="K26" s="9">
        <v>0</v>
      </c>
      <c r="L26" s="9">
        <v>0</v>
      </c>
      <c r="M26" s="9">
        <v>0</v>
      </c>
      <c r="N26" s="9">
        <v>0</v>
      </c>
      <c r="O26" s="10">
        <f>SUM(C26:N26)</f>
        <v>970</v>
      </c>
    </row>
    <row r="27" spans="1:15">
      <c r="A27" s="22" t="s">
        <v>76</v>
      </c>
      <c r="C27" s="9">
        <v>110</v>
      </c>
      <c r="D27" s="9">
        <v>0</v>
      </c>
      <c r="E27" s="9">
        <v>0</v>
      </c>
      <c r="F27" s="9">
        <v>800</v>
      </c>
      <c r="G27" s="9">
        <v>0</v>
      </c>
      <c r="H27" s="9">
        <v>0</v>
      </c>
      <c r="I27" s="9">
        <v>0</v>
      </c>
      <c r="J27" s="9">
        <v>0</v>
      </c>
      <c r="K27" s="9">
        <v>0</v>
      </c>
      <c r="L27" s="9">
        <v>0</v>
      </c>
      <c r="M27" s="9">
        <v>0</v>
      </c>
      <c r="N27" s="9">
        <v>0</v>
      </c>
      <c r="O27" s="10">
        <f>SUM(C27:N27)</f>
        <v>910</v>
      </c>
    </row>
    <row r="28" spans="1:15">
      <c r="A28" s="22" t="s">
        <v>77</v>
      </c>
      <c r="C28" s="9">
        <v>67</v>
      </c>
      <c r="D28" s="9">
        <v>103.43</v>
      </c>
      <c r="E28" s="9">
        <v>67</v>
      </c>
      <c r="F28" s="9">
        <v>67</v>
      </c>
      <c r="G28" s="9">
        <v>125.73</v>
      </c>
      <c r="H28" s="9">
        <v>67</v>
      </c>
      <c r="I28" s="9">
        <v>67</v>
      </c>
      <c r="J28" s="9">
        <v>119.34</v>
      </c>
      <c r="K28" s="9">
        <v>67</v>
      </c>
      <c r="L28" s="9">
        <v>67</v>
      </c>
      <c r="M28" s="9">
        <v>118.77</v>
      </c>
      <c r="N28" s="9">
        <v>67</v>
      </c>
      <c r="O28" s="10">
        <f>SUM(C28:N28)</f>
        <v>1003.27</v>
      </c>
    </row>
    <row r="29" spans="1:15">
      <c r="A29" s="22"/>
      <c r="C29" s="10"/>
      <c r="D29" s="10"/>
      <c r="E29" s="10"/>
      <c r="F29" s="10"/>
      <c r="G29" s="10"/>
      <c r="H29" s="10"/>
      <c r="I29" s="10"/>
      <c r="J29" s="10"/>
      <c r="K29" s="10"/>
      <c r="L29" s="10"/>
      <c r="M29" s="10"/>
      <c r="N29" s="10"/>
      <c r="O29" s="10"/>
    </row>
    <row r="30" spans="1:15">
      <c r="A30" s="20" t="s">
        <v>343</v>
      </c>
      <c r="C30" s="10"/>
      <c r="D30" s="10"/>
      <c r="E30" s="10"/>
      <c r="F30" s="10"/>
      <c r="G30" s="10"/>
      <c r="H30" s="10"/>
      <c r="I30" s="10"/>
      <c r="J30" s="10"/>
      <c r="K30" s="10"/>
      <c r="L30" s="10"/>
      <c r="M30" s="10"/>
      <c r="N30" s="10"/>
      <c r="O30" s="10"/>
    </row>
    <row r="31" spans="1:15">
      <c r="A31" s="22" t="s">
        <v>344</v>
      </c>
      <c r="C31" s="9">
        <v>0</v>
      </c>
      <c r="D31" s="9">
        <v>2400</v>
      </c>
      <c r="E31" s="9">
        <v>0</v>
      </c>
      <c r="F31" s="9">
        <v>0</v>
      </c>
      <c r="G31" s="9">
        <v>0</v>
      </c>
      <c r="H31" s="9">
        <v>2300</v>
      </c>
      <c r="I31" s="9">
        <v>0</v>
      </c>
      <c r="J31" s="9">
        <v>0</v>
      </c>
      <c r="K31" s="9">
        <v>0</v>
      </c>
      <c r="L31" s="9">
        <v>3200</v>
      </c>
      <c r="M31" s="9">
        <v>0</v>
      </c>
      <c r="N31" s="9">
        <v>0</v>
      </c>
      <c r="O31" s="10">
        <f>SUM(C31:N31)</f>
        <v>7900</v>
      </c>
    </row>
    <row r="32" spans="1:15">
      <c r="A32" s="22" t="s">
        <v>345</v>
      </c>
      <c r="C32" s="9">
        <v>1647</v>
      </c>
      <c r="D32" s="9">
        <v>0</v>
      </c>
      <c r="E32" s="9">
        <v>0</v>
      </c>
      <c r="F32" s="9">
        <v>0</v>
      </c>
      <c r="G32" s="9">
        <v>0</v>
      </c>
      <c r="H32" s="9">
        <v>0</v>
      </c>
      <c r="I32" s="9">
        <v>0</v>
      </c>
      <c r="J32" s="9">
        <v>0</v>
      </c>
      <c r="K32" s="9">
        <v>0</v>
      </c>
      <c r="L32" s="9">
        <v>0</v>
      </c>
      <c r="M32" s="9">
        <v>0</v>
      </c>
      <c r="N32" s="9">
        <v>0</v>
      </c>
      <c r="O32" s="10">
        <f>SUM(C32:N32)</f>
        <v>1647</v>
      </c>
    </row>
    <row r="33" spans="1:15">
      <c r="A33" s="22" t="s">
        <v>112</v>
      </c>
      <c r="C33" s="9">
        <v>0</v>
      </c>
      <c r="D33" s="9">
        <v>2500</v>
      </c>
      <c r="E33" s="9">
        <v>0</v>
      </c>
      <c r="F33" s="9">
        <v>0</v>
      </c>
      <c r="G33" s="9">
        <v>0</v>
      </c>
      <c r="H33" s="9">
        <v>0</v>
      </c>
      <c r="I33" s="9">
        <v>0</v>
      </c>
      <c r="J33" s="9">
        <v>0</v>
      </c>
      <c r="K33" s="9">
        <v>0</v>
      </c>
      <c r="L33" s="9">
        <v>0</v>
      </c>
      <c r="M33" s="9">
        <v>0</v>
      </c>
      <c r="N33" s="9">
        <v>0</v>
      </c>
      <c r="O33" s="10">
        <f>SUM(C33:N33)</f>
        <v>2500</v>
      </c>
    </row>
    <row r="34" spans="1:15">
      <c r="A34" s="22" t="s">
        <v>113</v>
      </c>
      <c r="C34" s="9">
        <v>750</v>
      </c>
      <c r="D34" s="9">
        <v>750</v>
      </c>
      <c r="E34" s="9">
        <v>750</v>
      </c>
      <c r="F34" s="9">
        <v>750</v>
      </c>
      <c r="G34" s="9">
        <v>750</v>
      </c>
      <c r="H34" s="9">
        <v>750</v>
      </c>
      <c r="I34" s="9">
        <v>750</v>
      </c>
      <c r="J34" s="9">
        <v>750</v>
      </c>
      <c r="K34" s="9">
        <v>750</v>
      </c>
      <c r="L34" s="9">
        <v>750</v>
      </c>
      <c r="M34" s="9">
        <v>750</v>
      </c>
      <c r="N34" s="9">
        <v>750</v>
      </c>
      <c r="O34" s="10">
        <f>SUM(C34:N34)</f>
        <v>9000</v>
      </c>
    </row>
    <row r="35" spans="1:15">
      <c r="A35" s="22" t="s">
        <v>346</v>
      </c>
      <c r="C35" s="9">
        <v>64.94</v>
      </c>
      <c r="D35" s="9">
        <v>154.04</v>
      </c>
      <c r="E35" s="9">
        <v>147.56</v>
      </c>
      <c r="F35" s="9">
        <v>114.19</v>
      </c>
      <c r="G35" s="9">
        <v>179.16</v>
      </c>
      <c r="H35" s="9">
        <v>187.13</v>
      </c>
      <c r="I35" s="9">
        <v>38</v>
      </c>
      <c r="J35" s="9">
        <v>129.38</v>
      </c>
      <c r="K35" s="9">
        <v>184.11</v>
      </c>
      <c r="L35" s="9">
        <v>202.12</v>
      </c>
      <c r="M35" s="9">
        <v>305.03</v>
      </c>
      <c r="N35" s="9">
        <v>279.81</v>
      </c>
      <c r="O35" s="10">
        <f>SUM(C35:N35)</f>
        <v>1985.47</v>
      </c>
    </row>
    <row r="36" spans="1:15">
      <c r="A36" s="22" t="s">
        <v>347</v>
      </c>
      <c r="C36" s="9">
        <v>708</v>
      </c>
      <c r="D36" s="9">
        <v>0</v>
      </c>
      <c r="E36" s="9">
        <v>0</v>
      </c>
      <c r="F36" s="9">
        <v>366.54</v>
      </c>
      <c r="G36" s="9">
        <v>0</v>
      </c>
      <c r="H36" s="9">
        <v>0</v>
      </c>
      <c r="I36" s="9">
        <v>480.48</v>
      </c>
      <c r="J36" s="9">
        <v>0</v>
      </c>
      <c r="K36" s="9">
        <v>0</v>
      </c>
      <c r="L36" s="9">
        <v>351.49</v>
      </c>
      <c r="M36" s="9">
        <v>0</v>
      </c>
      <c r="N36" s="9">
        <v>0</v>
      </c>
      <c r="O36" s="10">
        <f>SUM(C36:N36)</f>
        <v>1906.51</v>
      </c>
    </row>
    <row r="37" spans="1:15">
      <c r="A37" s="22"/>
      <c r="C37" s="10"/>
      <c r="D37" s="10"/>
      <c r="E37" s="10"/>
      <c r="F37" s="10"/>
      <c r="G37" s="10"/>
      <c r="H37" s="10"/>
      <c r="I37" s="10"/>
      <c r="J37" s="10"/>
      <c r="K37" s="10"/>
      <c r="L37" s="10"/>
      <c r="M37" s="10"/>
      <c r="N37" s="10"/>
      <c r="O37" s="10"/>
    </row>
    <row r="38" spans="1:15">
      <c r="A38" s="20" t="s">
        <v>191</v>
      </c>
      <c r="C38" s="10"/>
      <c r="D38" s="10"/>
      <c r="E38" s="10"/>
      <c r="F38" s="10"/>
      <c r="G38" s="10"/>
      <c r="H38" s="10"/>
      <c r="I38" s="10"/>
      <c r="J38" s="10"/>
      <c r="K38" s="10"/>
      <c r="L38" s="10"/>
      <c r="M38" s="10"/>
      <c r="N38" s="10"/>
      <c r="O38" s="10"/>
    </row>
    <row r="39" spans="1:15">
      <c r="A39" s="22" t="s">
        <v>192</v>
      </c>
      <c r="C39" s="9">
        <v>182</v>
      </c>
      <c r="D39" s="9">
        <v>232</v>
      </c>
      <c r="E39" s="9">
        <v>188</v>
      </c>
      <c r="F39" s="9">
        <v>191</v>
      </c>
      <c r="G39" s="9">
        <v>224</v>
      </c>
      <c r="H39" s="9">
        <v>222</v>
      </c>
      <c r="I39" s="9">
        <v>193</v>
      </c>
      <c r="J39" s="9">
        <v>189</v>
      </c>
      <c r="K39" s="9">
        <v>206</v>
      </c>
      <c r="L39" s="9">
        <v>221</v>
      </c>
      <c r="M39" s="9">
        <v>314</v>
      </c>
      <c r="N39" s="9">
        <v>390</v>
      </c>
      <c r="O39" s="10">
        <f>SUM(C39:N39)</f>
        <v>2752</v>
      </c>
    </row>
    <row r="40" spans="1:15">
      <c r="A40" s="22" t="s">
        <v>348</v>
      </c>
      <c r="C40" s="9">
        <v>70</v>
      </c>
      <c r="D40" s="9">
        <v>93</v>
      </c>
      <c r="E40" s="9">
        <v>63</v>
      </c>
      <c r="F40" s="9">
        <v>72</v>
      </c>
      <c r="G40" s="9">
        <v>89</v>
      </c>
      <c r="H40" s="9">
        <v>75</v>
      </c>
      <c r="I40" s="9">
        <v>79</v>
      </c>
      <c r="J40" s="9">
        <v>78</v>
      </c>
      <c r="K40" s="9">
        <v>60</v>
      </c>
      <c r="L40" s="9">
        <v>82</v>
      </c>
      <c r="M40" s="9">
        <v>120</v>
      </c>
      <c r="N40" s="9">
        <v>163</v>
      </c>
      <c r="O40" s="10">
        <f>SUM(C40:N40)</f>
        <v>1044</v>
      </c>
    </row>
    <row r="41" spans="1:15">
      <c r="A41" s="22" t="s">
        <v>349</v>
      </c>
      <c r="C41" s="9">
        <v>112</v>
      </c>
      <c r="D41" s="9">
        <v>139</v>
      </c>
      <c r="E41" s="9">
        <v>125</v>
      </c>
      <c r="F41" s="9">
        <v>119</v>
      </c>
      <c r="G41" s="9">
        <v>135</v>
      </c>
      <c r="H41" s="9">
        <v>147</v>
      </c>
      <c r="I41" s="9">
        <v>114</v>
      </c>
      <c r="J41" s="9">
        <v>111</v>
      </c>
      <c r="K41" s="9">
        <v>146</v>
      </c>
      <c r="L41" s="9">
        <v>139</v>
      </c>
      <c r="M41" s="9">
        <v>194</v>
      </c>
      <c r="N41" s="9">
        <v>227</v>
      </c>
      <c r="O41" s="10">
        <f>SUM(C41:N41)</f>
        <v>1708</v>
      </c>
    </row>
    <row r="42" spans="1:15">
      <c r="A42" s="22" t="s">
        <v>193</v>
      </c>
      <c r="C42" s="9">
        <v>288</v>
      </c>
      <c r="D42" s="9">
        <v>359</v>
      </c>
      <c r="E42" s="9">
        <v>299</v>
      </c>
      <c r="F42" s="9">
        <v>300</v>
      </c>
      <c r="G42" s="9">
        <v>347</v>
      </c>
      <c r="H42" s="9">
        <v>350</v>
      </c>
      <c r="I42" s="9">
        <v>311</v>
      </c>
      <c r="J42" s="9">
        <v>297</v>
      </c>
      <c r="K42" s="9">
        <v>336</v>
      </c>
      <c r="L42" s="9">
        <v>367</v>
      </c>
      <c r="M42" s="9">
        <v>507</v>
      </c>
      <c r="N42" s="9">
        <v>638</v>
      </c>
      <c r="O42" s="10">
        <f>SUM(C42:N42)</f>
        <v>4399</v>
      </c>
    </row>
    <row r="43" spans="1:15">
      <c r="A43" s="22" t="s">
        <v>350</v>
      </c>
      <c r="C43" s="9">
        <v>1</v>
      </c>
      <c r="D43" s="9">
        <v>7</v>
      </c>
      <c r="E43" s="9">
        <v>4</v>
      </c>
      <c r="F43" s="9">
        <v>7</v>
      </c>
      <c r="G43" s="9">
        <v>1</v>
      </c>
      <c r="H43" s="9">
        <v>2</v>
      </c>
      <c r="I43" s="9">
        <v>5</v>
      </c>
      <c r="J43" s="9">
        <v>3</v>
      </c>
      <c r="K43" s="9">
        <v>2</v>
      </c>
      <c r="L43" s="9">
        <v>5</v>
      </c>
      <c r="M43" s="9">
        <v>3</v>
      </c>
      <c r="N43" s="9">
        <v>12</v>
      </c>
      <c r="O43" s="10">
        <f>SUM(C43:N43)</f>
        <v>52</v>
      </c>
    </row>
    <row r="44" spans="1:15">
      <c r="A44" s="22"/>
      <c r="C44" s="10"/>
      <c r="D44" s="10"/>
      <c r="E44" s="10"/>
      <c r="F44" s="10"/>
      <c r="G44" s="10"/>
      <c r="H44" s="10"/>
      <c r="I44" s="10"/>
      <c r="J44" s="10"/>
      <c r="K44" s="10"/>
      <c r="L44" s="10"/>
      <c r="M44" s="10"/>
      <c r="N44" s="10"/>
      <c r="O44" s="10"/>
    </row>
    <row r="45" spans="1:15">
      <c r="A45" s="20" t="s">
        <v>351</v>
      </c>
      <c r="C45" s="10"/>
      <c r="D45" s="10"/>
      <c r="E45" s="10"/>
      <c r="F45" s="10"/>
      <c r="G45" s="10"/>
      <c r="H45" s="10"/>
      <c r="I45" s="10"/>
      <c r="J45" s="10"/>
      <c r="K45" s="10"/>
      <c r="L45" s="10"/>
      <c r="M45" s="10"/>
      <c r="N45" s="10"/>
      <c r="O45" s="10"/>
    </row>
    <row r="46" spans="1:15">
      <c r="A46" s="22" t="s">
        <v>62</v>
      </c>
      <c r="C46" s="10"/>
      <c r="D46" s="10"/>
      <c r="E46" s="10"/>
      <c r="F46" s="10"/>
      <c r="G46" s="10"/>
      <c r="H46" s="10"/>
      <c r="I46" s="10"/>
      <c r="J46" s="10"/>
      <c r="K46" s="10"/>
      <c r="L46" s="10"/>
      <c r="M46" s="10"/>
      <c r="N46" s="10"/>
      <c r="O46" s="9">
        <v>200955.62</v>
      </c>
    </row>
    <row r="47" spans="1:15">
      <c r="A47" s="22" t="s">
        <v>192</v>
      </c>
      <c r="C47" s="10"/>
      <c r="D47" s="10"/>
      <c r="E47" s="10"/>
      <c r="F47" s="10"/>
      <c r="G47" s="10"/>
      <c r="H47" s="10"/>
      <c r="I47" s="10"/>
      <c r="J47" s="10"/>
      <c r="K47" s="10"/>
      <c r="L47" s="10"/>
      <c r="M47" s="10"/>
      <c r="N47" s="10"/>
      <c r="O47" s="9">
        <v>2752</v>
      </c>
    </row>
  </sheetData>
  <pageMargins left="0.4" right="0.4" top="0.5" bottom="0.5" header="0.3" footer="0.3"/>
  <pageSetup paperSize="1" fitToHeight="0" orientation="landscape"/>
  <headerFooter>
    <oddFooter>&amp;L&amp;8Escentials LLC · FY2025 · Illustrative figures&amp;R&amp;8&amp;A</oddFooter>
  </headerFooter>
</worksheet>
</file>

<file path=xl/worksheets/sheet18.xml><?xml version="1.0" encoding="utf-8"?>
<worksheet xmlns="http://schemas.openxmlformats.org/spreadsheetml/2006/main" xmlns:r="http://schemas.openxmlformats.org/officeDocument/2006/relationships">
  <sheetPr>
    <tabColor rgb="FF00B050"/>
    <pageSetUpPr fitToPage="1"/>
  </sheetPr>
  <dimension ref="A1:C22"/>
  <sheetViews>
    <sheetView workbookViewId="0"/>
  </sheetViews>
  <sheetFormatPr defaultRowHeight="15"/>
  <cols>
    <col min="1" max="1" width="70.7109375" customWidth="1"/>
    <col min="2" max="2" width="14.7109375" customWidth="1"/>
    <col min="3" max="3" width="10.7109375" customWidth="1"/>
  </cols>
  <sheetData>
    <row r="1" spans="1:3">
      <c r="A1" s="15" t="s">
        <v>37</v>
      </c>
    </row>
    <row r="2" spans="1:3">
      <c r="A2" s="17" t="s">
        <v>352</v>
      </c>
    </row>
    <row r="3" spans="1:3">
      <c r="A3" s="18" t="s">
        <v>140</v>
      </c>
    </row>
    <row r="5" spans="1:3">
      <c r="A5" s="6" t="s">
        <v>353</v>
      </c>
      <c r="B5" s="31" t="s">
        <v>354</v>
      </c>
      <c r="C5" s="31" t="s">
        <v>146</v>
      </c>
    </row>
    <row r="6" spans="1:3">
      <c r="A6" s="22" t="s">
        <v>355</v>
      </c>
      <c r="B6" s="40">
        <f>SUMPRODUCT(ABS('Monthly BS'!B20:N20))</f>
        <v>0</v>
      </c>
      <c r="C6" s="55" t="str">
        <f>IF(ABS(B6)&lt;0.01,"OK","ERROR")</f>
        <v>OK</v>
      </c>
    </row>
    <row r="7" spans="1:3">
      <c r="A7" s="22" t="s">
        <v>356</v>
      </c>
      <c r="B7" s="40">
        <f>'Monthly CF'!N26-'Monthly BS'!N6</f>
        <v>0</v>
      </c>
      <c r="C7" s="55" t="str">
        <f>IF(ABS(B7)&lt;0.01,"OK","ERROR")</f>
        <v>OK</v>
      </c>
    </row>
    <row r="8" spans="1:3">
      <c r="A8" s="22" t="s">
        <v>357</v>
      </c>
      <c r="B8" s="40">
        <f>'Monthly CF'!C25-'Monthly BS'!B6</f>
        <v>0</v>
      </c>
      <c r="C8" s="55" t="str">
        <f>IF(ABS(B8)&lt;0.01,"OK","ERROR")</f>
        <v>OK</v>
      </c>
    </row>
    <row r="9" spans="1:3">
      <c r="A9" s="22" t="s">
        <v>358</v>
      </c>
      <c r="B9" s="40">
        <f>'Income Statement'!C30-SUM('Monthly P&amp;L'!C37:N37)</f>
        <v>0</v>
      </c>
      <c r="C9" s="55" t="str">
        <f>IF(ABS(B9)&lt;0.01,"OK","ERROR")</f>
        <v>OK</v>
      </c>
    </row>
    <row r="10" spans="1:3">
      <c r="A10" s="22" t="s">
        <v>359</v>
      </c>
      <c r="B10" s="40">
        <f>'Cash Flows'!C8-'Income Statement'!C30</f>
        <v>0</v>
      </c>
      <c r="C10" s="55" t="str">
        <f>IF(ABS(B10)&lt;0.01,"OK","ERROR")</f>
        <v>OK</v>
      </c>
    </row>
    <row r="11" spans="1:3">
      <c r="A11" s="22" t="s">
        <v>360</v>
      </c>
      <c r="B11" s="40">
        <f>'Cash Flows'!C29-'Balance Sheet'!C9</f>
        <v>0</v>
      </c>
      <c r="C11" s="55" t="str">
        <f>IF(ABS(B11)&lt;0.01,"OK","ERROR")</f>
        <v>OK</v>
      </c>
    </row>
    <row r="12" spans="1:3">
      <c r="A12" s="22" t="s">
        <v>361</v>
      </c>
      <c r="B12" s="40">
        <f>'Equity Statement'!C11-'Balance Sheet'!C21</f>
        <v>0</v>
      </c>
      <c r="C12" s="55" t="str">
        <f>IF(ABS(B12)&lt;0.01,"OK","ERROR")</f>
        <v>OK</v>
      </c>
    </row>
    <row r="13" spans="1:3">
      <c r="A13" s="22" t="s">
        <v>362</v>
      </c>
      <c r="B13" s="40">
        <f>'Balance Sheet'!C14-'Monthly BS'!N11</f>
        <v>0</v>
      </c>
      <c r="C13" s="55" t="str">
        <f>IF(ABS(B13)&lt;0.01,"OK","ERROR")</f>
        <v>OK</v>
      </c>
    </row>
    <row r="14" spans="1:3">
      <c r="A14" s="22" t="s">
        <v>363</v>
      </c>
      <c r="B14" s="40">
        <f>'Balance Sheet'!C14-'Balance Sheet'!C22</f>
        <v>0</v>
      </c>
      <c r="C14" s="55" t="str">
        <f>IF(ABS(B14)&lt;0.01,"OK","ERROR")</f>
        <v>OK</v>
      </c>
    </row>
    <row r="15" spans="1:3">
      <c r="A15" s="22" t="s">
        <v>364</v>
      </c>
      <c r="B15" s="40">
        <f>'Data'!O6+'Data'!O7-'Data'!O46</f>
        <v>0</v>
      </c>
      <c r="C15" s="55" t="str">
        <f>IF(ABS(B15)&lt;0.01,"OK","ERROR")</f>
        <v>OK</v>
      </c>
    </row>
    <row r="16" spans="1:3">
      <c r="A16" s="22" t="s">
        <v>365</v>
      </c>
      <c r="B16" s="40">
        <f>'Data'!O6+'Data'!O7-'Data'!O8-'Data'!O9-'Data'!O10</f>
        <v>0</v>
      </c>
      <c r="C16" s="55" t="str">
        <f>IF(ABS(B16)&lt;0.01,"OK","ERROR")</f>
        <v>OK</v>
      </c>
    </row>
    <row r="17" spans="1:3">
      <c r="A17" s="22" t="s">
        <v>366</v>
      </c>
      <c r="B17" s="40">
        <f>'Data'!O39-'Data'!O47</f>
        <v>0</v>
      </c>
      <c r="C17" s="55" t="str">
        <f>IF(ABS(B17)&lt;0.01,"OK","ERROR")</f>
        <v>OK</v>
      </c>
    </row>
    <row r="18" spans="1:3">
      <c r="A18" s="22" t="s">
        <v>367</v>
      </c>
      <c r="B18" s="40">
        <f>'Budget'!B17-1</f>
        <v>0</v>
      </c>
      <c r="C18" s="55" t="str">
        <f>IF(ABS(B18)&lt;0.01,"OK","ERROR")</f>
        <v>OK</v>
      </c>
    </row>
    <row r="19" spans="1:3">
      <c r="A19" s="22" t="s">
        <v>368</v>
      </c>
      <c r="B19" s="40">
        <f>MIN(0,MIN('Monthly BS'!B6:N6))</f>
        <v>0</v>
      </c>
      <c r="C19" s="55" t="str">
        <f>IF(ABS(B19)&lt;0.01,"OK","ERROR")</f>
        <v>OK</v>
      </c>
    </row>
    <row r="20" spans="1:3">
      <c r="A20" s="22" t="s">
        <v>369</v>
      </c>
      <c r="B20" s="40">
        <f>MIN(0,MIN('Schedules'!B18:N18))</f>
        <v>0</v>
      </c>
      <c r="C20" s="55" t="str">
        <f>IF(ABS(B20)&lt;0.01,"OK","ERROR")</f>
        <v>OK</v>
      </c>
    </row>
    <row r="22" spans="1:3">
      <c r="A22" s="28" t="s">
        <v>370</v>
      </c>
      <c r="B22" s="56">
        <f>COUNTIF(C6:C20,"ERROR")</f>
        <v>0</v>
      </c>
      <c r="C22" s="33"/>
    </row>
  </sheetData>
  <conditionalFormatting sqref="B22">
    <cfRule type="cellIs" dxfId="0" priority="3" operator="equal">
      <formula>0</formula>
    </cfRule>
    <cfRule type="cellIs" dxfId="1" priority="4" operator="greaterThan">
      <formula>0</formula>
    </cfRule>
  </conditionalFormatting>
  <conditionalFormatting sqref="C6:C20">
    <cfRule type="cellIs" dxfId="0" priority="1" operator="equal">
      <formula>"OK"</formula>
    </cfRule>
    <cfRule type="cellIs" dxfId="1" priority="2" operator="equal">
      <formula>"ERROR"</formula>
    </cfRule>
  </conditionalFormatting>
  <pageMargins left="0.4" right="0.4" top="0.5" bottom="0.5" header="0.3" footer="0.3"/>
  <pageSetup paperSize="1" fitToHeight="0" orientation="portrait"/>
  <headerFooter>
    <oddFooter>&amp;L&amp;8Escentials LLC · FY2025 · Illustrative figures&amp;R&amp;8&amp;A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Cover</vt:lpstr>
      <vt:lpstr>Income Statement</vt:lpstr>
      <vt:lpstr>Balance Sheet</vt:lpstr>
      <vt:lpstr>Cash Flows</vt:lpstr>
      <vt:lpstr>Equity Statement</vt:lpstr>
      <vt:lpstr>Notes</vt:lpstr>
      <vt:lpstr>Budget vs Actual</vt:lpstr>
      <vt:lpstr>Forecast</vt:lpstr>
      <vt:lpstr>KPIs</vt:lpstr>
      <vt:lpstr>SQL Analysis</vt:lpstr>
      <vt:lpstr>Monthly P&amp;L</vt:lpstr>
      <vt:lpstr>Monthly BS</vt:lpstr>
      <vt:lpstr>Monthly CF</vt:lpstr>
      <vt:lpstr>Schedules</vt:lpstr>
      <vt:lpstr>Budget</vt:lpstr>
      <vt:lpstr>Assumptions</vt:lpstr>
      <vt:lpstr>Data</vt:lpstr>
      <vt:lpstr>Checks</vt:lpstr>
      <vt:lpstr>KPIs!Print_Area</vt:lpstr>
      <vt:lpstr>Budget!Print_Titles</vt:lpstr>
      <vt:lpstr>Data!Print_Titles</vt:lpstr>
      <vt:lpstr>Forecast!Print_Titles</vt:lpstr>
      <vt:lpstr>'Monthly BS'!Print_Titles</vt:lpstr>
      <vt:lpstr>'Monthly CF'!Print_Titles</vt:lpstr>
      <vt:lpstr>'Monthly P&amp;L'!Print_Titles</vt:lpstr>
      <vt:lpstr>Schedules!Print_Titles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Escentials LLC financial statements, fiscal 2025 (illustrative figures)</dc:title>
  <dc:creator>George Murad</dc:creator>
  <dc:description>Illustrative figures for privacy: modeled on the business's size, channels and products, not its actual results</dc:description>
  <cp:lastModifiedBy>George Murad</cp:lastModifiedBy>
  <dcterms:created xsi:type="dcterms:W3CDTF">2026-09-27T04:20:57Z</dcterms:created>
  <dcterms:modified xsi:type="dcterms:W3CDTF">2026-09-27T04:20:57Z</dcterms:modified>
</cp:coreProperties>
</file>