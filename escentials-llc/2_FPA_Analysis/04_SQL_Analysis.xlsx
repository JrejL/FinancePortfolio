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QL Analysis" sheetId="1" r:id="rId1"/>
  </sheets>
  <calcPr calcId="124519" fullCalcOnLoad="1"/>
</workbook>
</file>

<file path=xl/sharedStrings.xml><?xml version="1.0" encoding="utf-8"?>
<sst xmlns="http://schemas.openxmlformats.org/spreadsheetml/2006/main" count="67" uniqueCount="51">
  <si>
    <t>SQL Analysis</t>
  </si>
  <si>
    <t>Each table is the result of a query in 5_SQLite_Database/queries/, run against escentials.db; each chart reads its table</t>
  </si>
  <si>
    <t>Illustrative figures for privacy: modeled on the business's size, channels and products, not its actual results</t>
  </si>
  <si>
    <t>Revenue by channel   ·   5_SQLite_Database/queries/revenue_by_channel.sql</t>
  </si>
  <si>
    <t>Merchandise sales by channel, with order count, average order value and share of the total.</t>
  </si>
  <si>
    <t>Channel</t>
  </si>
  <si>
    <t>Orders</t>
  </si>
  <si>
    <t>Merchandise sales</t>
  </si>
  <si>
    <t>Avg order value</t>
  </si>
  <si>
    <t>Share of sales</t>
  </si>
  <si>
    <t>eBay</t>
  </si>
  <si>
    <t>Shopify</t>
  </si>
  <si>
    <t>Gross margin by product line   ·   5_SQLite_Database/queries/margin_by_product_line.sql</t>
  </si>
  <si>
    <t>Gross margin by product line, before returns: the own brand line is small in sales but rich in margin.</t>
  </si>
  <si>
    <t>Product line</t>
  </si>
  <si>
    <t>Units</t>
  </si>
  <si>
    <t>Cost of goods</t>
  </si>
  <si>
    <t>Gross profit</t>
  </si>
  <si>
    <t>Gross margin</t>
  </si>
  <si>
    <t>Share of gross profit</t>
  </si>
  <si>
    <t>Designer fragrance</t>
  </si>
  <si>
    <t>Refills</t>
  </si>
  <si>
    <t>Car Perfume</t>
  </si>
  <si>
    <t>Top ten products by gross profit   ·   5_SQLite_Database/queries/top_products.sql</t>
  </si>
  <si>
    <t>The ten products that earned the most gross profit, ranked, with units, sales and margin.</t>
  </si>
  <si>
    <t>Product</t>
  </si>
  <si>
    <t>Rank</t>
  </si>
  <si>
    <t>Car Perfume refill, 3 x 10 ml</t>
  </si>
  <si>
    <t>Parfums de Marly Layton EDP 4.2 oz</t>
  </si>
  <si>
    <t>Car Perfume refill, 2 x 10 ml</t>
  </si>
  <si>
    <t>Car Perfume refill, 10 ml</t>
  </si>
  <si>
    <t>Creed Aventus EDP 3.3 oz</t>
  </si>
  <si>
    <t>Dior Sauvage EDT 3.4 oz</t>
  </si>
  <si>
    <t>Car Perfume bottle, Onyx, Chrome or Gold</t>
  </si>
  <si>
    <t>Car Perfume bottle, color collection</t>
  </si>
  <si>
    <t>Versace Eros EDT 3.4 oz</t>
  </si>
  <si>
    <t>Maison Francis Kurkdjian Baccarat Rouge 540 EDP 2.4 oz</t>
  </si>
  <si>
    <t>Operating costs by category   ·   5_SQLite_Database/queries/expense_mix.sql</t>
  </si>
  <si>
    <t>Where the money goes after the product itself: every operating cost, from order level fees and the ledger.</t>
  </si>
  <si>
    <t>Category</t>
  </si>
  <si>
    <t>Amount</t>
  </si>
  <si>
    <t>Share</t>
  </si>
  <si>
    <t>Shipping and fulfillment</t>
  </si>
  <si>
    <t>Marketplace fees</t>
  </si>
  <si>
    <t>Advertising and marketing</t>
  </si>
  <si>
    <t>Payment processing</t>
  </si>
  <si>
    <t>Packaging and supplies</t>
  </si>
  <si>
    <t>General and administrative</t>
  </si>
  <si>
    <t>Professional fees</t>
  </si>
  <si>
    <t>Software and subscriptions</t>
  </si>
  <si>
    <t>Taxes and licenses</t>
  </si>
</sst>
</file>

<file path=xl/styles.xml><?xml version="1.0" encoding="utf-8"?>
<styleSheet xmlns="http://schemas.openxmlformats.org/spreadsheetml/2006/main">
  <numFmts count="4">
    <numFmt numFmtId="164" formatCode="#,##0_);(#,##0);&quot;–&quot;_)"/>
    <numFmt numFmtId="165" formatCode="$#,##0.00_);($#,##0.00);&quot;–&quot;_)"/>
    <numFmt numFmtId="166" formatCode="0.0%_);(0.0%);&quot;–&quot;_)"/>
    <numFmt numFmtId="167" formatCode="@"/>
  </numFmts>
  <fonts count="8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color rgb="FF595959"/>
      <name val="Arial"/>
      <family val="2"/>
    </font>
    <font>
      <i/>
      <sz val="8"/>
      <color rgb="FF595959"/>
      <name val="Arial"/>
      <family val="2"/>
    </font>
    <font>
      <b/>
      <sz val="10"/>
      <color rgb="FF1F3864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5" fillId="0" borderId="0" xfId="0" applyFont="1" applyAlignment="1">
      <alignment horizontal="left" vertical="center" indent="1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Arial"/>
              </a:defRPr>
            </a:pPr>
            <a:r>
              <a:rPr lang="en-US" sz="1100" b="1" baseline="0">
                <a:solidFill>
                  <a:srgbClr val="1F3864"/>
                </a:solidFill>
                <a:latin typeface="Arial"/>
              </a:rPr>
              <a:t>Revenue by channel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Revenue by channel</c:v>
          </c:tx>
          <c:dPt>
            <c:idx val="0"/>
            <c:spPr>
              <a:solidFill>
                <a:srgbClr val="1F3864"/>
              </a:solidFill>
            </c:spPr>
          </c:dPt>
          <c:dPt>
            <c:idx val="1"/>
            <c:spPr>
              <a:solidFill>
                <a:srgbClr val="2E75B6"/>
              </a:solidFill>
            </c:spPr>
          </c:dPt>
          <c:dLbls>
            <c:txPr>
              <a:bodyPr/>
              <a:lstStyle/>
              <a:p>
                <a:pPr>
                  <a:defRPr sz="10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Percent val="1"/>
          </c:dLbls>
          <c:cat>
            <c:strRef>
              <c:f>'SQL Analysis'!$A$8:$A$9</c:f>
              <c:strCache>
                <c:ptCount val="2"/>
                <c:pt idx="0">
                  <c:v>eBay</c:v>
                </c:pt>
                <c:pt idx="1">
                  <c:v>Shopify</c:v>
                </c:pt>
              </c:strCache>
            </c:strRef>
          </c:cat>
          <c:val>
            <c:numRef>
              <c:f>'SQL Analysis'!$C$8:$C$9</c:f>
              <c:numCache>
                <c:formatCode>General</c:formatCode>
                <c:ptCount val="2"/>
                <c:pt idx="0">
                  <c:v>116479.68</c:v>
                </c:pt>
                <c:pt idx="1">
                  <c:v>84475.94</c:v>
                </c:pt>
              </c:numCache>
            </c:numRef>
          </c:val>
        </c:ser>
        <c:firstSliceAng val="0"/>
        <c:holeSize val="55"/>
      </c:doughnutChart>
    </c:plotArea>
    <c:legend>
      <c:legendPos val="b"/>
      <c:layout/>
      <c:txPr>
        <a:bodyPr/>
        <a:lstStyle/>
        <a:p>
          <a:pPr rtl="0">
            <a:defRPr sz="800" baseline="0">
              <a:latin typeface="Arial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Arial"/>
              </a:defRPr>
            </a:pPr>
            <a:r>
              <a:rPr lang="en-US" sz="1100" b="1" baseline="0">
                <a:solidFill>
                  <a:srgbClr val="1F3864"/>
                </a:solidFill>
                <a:latin typeface="Arial"/>
              </a:rPr>
              <a:t>Gross margin by product line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Gross margin by product line</c:v>
          </c:tx>
          <c:spPr>
            <a:solidFill>
              <a:srgbClr val="1F3864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'SQL Analysis'!$A$29:$A$31</c:f>
              <c:strCache>
                <c:ptCount val="3"/>
                <c:pt idx="0">
                  <c:v>Designer fragrance</c:v>
                </c:pt>
                <c:pt idx="1">
                  <c:v>Refills</c:v>
                </c:pt>
                <c:pt idx="2">
                  <c:v>Car Perfume</c:v>
                </c:pt>
              </c:strCache>
            </c:strRef>
          </c:cat>
          <c:val>
            <c:numRef>
              <c:f>'SQL Analysis'!$F$29:$F$31</c:f>
              <c:numCache>
                <c:formatCode>General</c:formatCode>
                <c:ptCount val="3"/>
                <c:pt idx="0">
                  <c:v>0.1921</c:v>
                </c:pt>
                <c:pt idx="1">
                  <c:v>0.8065</c:v>
                </c:pt>
                <c:pt idx="2">
                  <c:v>0.7241</c:v>
                </c:pt>
              </c:numCache>
            </c:numRef>
          </c:val>
        </c:ser>
        <c:gapWidth val="6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7E6E6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Arial"/>
              </a:defRPr>
            </a:pPr>
            <a:r>
              <a:rPr lang="en-US" sz="1100" b="1" baseline="0">
                <a:solidFill>
                  <a:srgbClr val="1F3864"/>
                </a:solidFill>
                <a:latin typeface="Arial"/>
              </a:rPr>
              <a:t>Top ten products by gross profit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Top ten products by gross profit</c:v>
          </c:tx>
          <c:spPr>
            <a:solidFill>
              <a:srgbClr val="1F3864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'SQL Analysis'!$A$51:$A$60</c:f>
              <c:strCache>
                <c:ptCount val="10"/>
                <c:pt idx="0">
                  <c:v>Car Perfume refill, 3 x 10 ml</c:v>
                </c:pt>
                <c:pt idx="1">
                  <c:v>Parfums de Marly Layton EDP 4.2 oz</c:v>
                </c:pt>
                <c:pt idx="2">
                  <c:v>Car Perfume refill, 2 x 10 ml</c:v>
                </c:pt>
                <c:pt idx="3">
                  <c:v>Car Perfume refill, 10 ml</c:v>
                </c:pt>
                <c:pt idx="4">
                  <c:v>Creed Aventus EDP 3.3 oz</c:v>
                </c:pt>
                <c:pt idx="5">
                  <c:v>Dior Sauvage EDT 3.4 oz</c:v>
                </c:pt>
                <c:pt idx="6">
                  <c:v>Car Perfume bottle, Onyx, Chrome or Gold</c:v>
                </c:pt>
                <c:pt idx="7">
                  <c:v>Car Perfume bottle, color collection</c:v>
                </c:pt>
                <c:pt idx="8">
                  <c:v>Versace Eros EDT 3.4 oz</c:v>
                </c:pt>
                <c:pt idx="9">
                  <c:v>Maison Francis Kurkdjian Baccarat Rouge 540 EDP 2.4 oz</c:v>
                </c:pt>
              </c:strCache>
            </c:strRef>
          </c:cat>
          <c:val>
            <c:numRef>
              <c:f>'SQL Analysis'!$F$51:$F$60</c:f>
              <c:numCache>
                <c:formatCode>General</c:formatCode>
                <c:ptCount val="10"/>
                <c:pt idx="0">
                  <c:v>6535.68</c:v>
                </c:pt>
                <c:pt idx="1">
                  <c:v>6482.11</c:v>
                </c:pt>
                <c:pt idx="2">
                  <c:v>6018.53</c:v>
                </c:pt>
                <c:pt idx="3">
                  <c:v>5394.48</c:v>
                </c:pt>
                <c:pt idx="4">
                  <c:v>4065.19</c:v>
                </c:pt>
                <c:pt idx="5">
                  <c:v>3200.95</c:v>
                </c:pt>
                <c:pt idx="6">
                  <c:v>2898.96</c:v>
                </c:pt>
                <c:pt idx="7">
                  <c:v>2708.16</c:v>
                </c:pt>
                <c:pt idx="8">
                  <c:v>2630.16</c:v>
                </c:pt>
                <c:pt idx="9">
                  <c:v>2362.46</c:v>
                </c:pt>
              </c:numCache>
            </c:numRef>
          </c:val>
        </c:ser>
        <c:gapWidth val="6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>
          <c:spPr>
            <a:ln>
              <a:solidFill>
                <a:srgbClr val="E7E6E6"/>
              </a:solidFill>
            </a:ln>
          </c:spPr>
        </c:majorGridlines>
        <c:numFmt formatCode="$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3864"/>
                </a:solidFill>
                <a:latin typeface="Arial"/>
              </a:defRPr>
            </a:pPr>
            <a:r>
              <a:rPr lang="en-US" sz="1100" b="1" baseline="0">
                <a:solidFill>
                  <a:srgbClr val="1F3864"/>
                </a:solidFill>
                <a:latin typeface="Arial"/>
              </a:rPr>
              <a:t>Operating costs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Operating costs by category</c:v>
          </c:tx>
          <c:spPr>
            <a:solidFill>
              <a:srgbClr val="1F3864"/>
            </a:solidFill>
          </c:spPr>
          <c:dLbls>
            <c:numFmt formatCode="$#,##0" sourceLinked="0"/>
            <c:txPr>
              <a:bodyPr/>
              <a:lstStyle/>
              <a:p>
                <a:pPr>
                  <a:defRPr sz="800" baseline="0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'SQL Analysis'!$A$80:$A$88</c:f>
              <c:strCache>
                <c:ptCount val="9"/>
                <c:pt idx="0">
                  <c:v>Shipping and fulfillment</c:v>
                </c:pt>
                <c:pt idx="1">
                  <c:v>Marketplace fees</c:v>
                </c:pt>
                <c:pt idx="2">
                  <c:v>Advertising and marketing</c:v>
                </c:pt>
                <c:pt idx="3">
                  <c:v>Payment processing</c:v>
                </c:pt>
                <c:pt idx="4">
                  <c:v>Packaging and supplies</c:v>
                </c:pt>
                <c:pt idx="5">
                  <c:v>General and administrative</c:v>
                </c:pt>
                <c:pt idx="6">
                  <c:v>Professional fees</c:v>
                </c:pt>
                <c:pt idx="7">
                  <c:v>Software and subscriptions</c:v>
                </c:pt>
                <c:pt idx="8">
                  <c:v>Taxes and licenses</c:v>
                </c:pt>
              </c:strCache>
            </c:strRef>
          </c:cat>
          <c:val>
            <c:numRef>
              <c:f>'SQL Analysis'!$B$80:$B$88</c:f>
              <c:numCache>
                <c:formatCode>General</c:formatCode>
                <c:ptCount val="9"/>
                <c:pt idx="0">
                  <c:v>17934.9</c:v>
                </c:pt>
                <c:pt idx="1">
                  <c:v>15851.1</c:v>
                </c:pt>
                <c:pt idx="2">
                  <c:v>6754.06</c:v>
                </c:pt>
                <c:pt idx="3">
                  <c:v>3223.94</c:v>
                </c:pt>
                <c:pt idx="4">
                  <c:v>1036.1</c:v>
                </c:pt>
                <c:pt idx="5">
                  <c:v>1003.27</c:v>
                </c:pt>
                <c:pt idx="6">
                  <c:v>970</c:v>
                </c:pt>
                <c:pt idx="7">
                  <c:v>924.4</c:v>
                </c:pt>
                <c:pt idx="8">
                  <c:v>910</c:v>
                </c:pt>
              </c:numCache>
            </c:numRef>
          </c:val>
        </c:ser>
        <c:gapWidth val="60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spPr>
          <a:ln>
            <a:solidFill>
              <a:srgbClr val="BFBFBF"/>
            </a:solidFill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t"/>
        <c:majorGridlines>
          <c:spPr>
            <a:ln>
              <a:solidFill>
                <a:srgbClr val="E7E6E6"/>
              </a:solidFill>
            </a:ln>
          </c:spPr>
        </c:majorGridlines>
        <c:numFmt formatCode="$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10</xdr:row>
      <xdr:rowOff>38100</xdr:rowOff>
    </xdr:from>
    <xdr:to>
      <xdr:col>3</xdr:col>
      <xdr:colOff>733425</xdr:colOff>
      <xdr:row>23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32</xdr:row>
      <xdr:rowOff>38100</xdr:rowOff>
    </xdr:from>
    <xdr:to>
      <xdr:col>3</xdr:col>
      <xdr:colOff>733425</xdr:colOff>
      <xdr:row>45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61</xdr:row>
      <xdr:rowOff>38100</xdr:rowOff>
    </xdr:from>
    <xdr:to>
      <xdr:col>3</xdr:col>
      <xdr:colOff>733425</xdr:colOff>
      <xdr:row>74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89</xdr:row>
      <xdr:rowOff>38100</xdr:rowOff>
    </xdr:from>
    <xdr:to>
      <xdr:col>3</xdr:col>
      <xdr:colOff>733425</xdr:colOff>
      <xdr:row>102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G88"/>
  <sheetViews>
    <sheetView tabSelected="1" workbookViewId="0"/>
  </sheetViews>
  <sheetFormatPr defaultRowHeight="15"/>
  <cols>
    <col min="1" max="1" width="46.7109375" customWidth="1"/>
    <col min="2" max="2" width="13.7109375" customWidth="1"/>
    <col min="3" max="3" width="17.7109375" customWidth="1"/>
    <col min="4" max="7" width="13.7109375" customWidth="1"/>
  </cols>
  <sheetData>
    <row r="1" spans="1:5">
      <c r="A1" s="1" t="s">
        <v>0</v>
      </c>
    </row>
    <row r="2" spans="1:5">
      <c r="A2" s="2" t="s">
        <v>1</v>
      </c>
    </row>
    <row r="3" spans="1:5">
      <c r="A3" s="3" t="s">
        <v>2</v>
      </c>
    </row>
    <row r="5" spans="1:5">
      <c r="A5" s="4" t="s">
        <v>3</v>
      </c>
    </row>
    <row r="6" spans="1:5">
      <c r="A6" s="2" t="s">
        <v>4</v>
      </c>
    </row>
    <row r="7" spans="1:5" ht="27" customHeight="1">
      <c r="A7" s="5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>
      <c r="A8" s="7" t="s">
        <v>10</v>
      </c>
      <c r="B8" s="8">
        <v>1044</v>
      </c>
      <c r="C8" s="8">
        <v>116479.68</v>
      </c>
      <c r="D8" s="9">
        <v>111.57</v>
      </c>
      <c r="E8" s="10">
        <v>0.5796</v>
      </c>
    </row>
    <row r="9" spans="1:5">
      <c r="A9" s="7" t="s">
        <v>11</v>
      </c>
      <c r="B9" s="8">
        <v>1708</v>
      </c>
      <c r="C9" s="8">
        <v>84475.94</v>
      </c>
      <c r="D9" s="9">
        <v>49.46</v>
      </c>
      <c r="E9" s="10">
        <v>0.4204</v>
      </c>
    </row>
    <row r="26" spans="1:7">
      <c r="A26" s="4" t="s">
        <v>12</v>
      </c>
    </row>
    <row r="27" spans="1:7">
      <c r="A27" s="2" t="s">
        <v>13</v>
      </c>
    </row>
    <row r="28" spans="1:7" ht="27" customHeight="1">
      <c r="A28" s="5" t="s">
        <v>14</v>
      </c>
      <c r="B28" s="6" t="s">
        <v>15</v>
      </c>
      <c r="C28" s="6" t="s">
        <v>7</v>
      </c>
      <c r="D28" s="6" t="s">
        <v>16</v>
      </c>
      <c r="E28" s="6" t="s">
        <v>17</v>
      </c>
      <c r="F28" s="6" t="s">
        <v>18</v>
      </c>
      <c r="G28" s="6" t="s">
        <v>19</v>
      </c>
    </row>
    <row r="29" spans="1:7">
      <c r="A29" s="7" t="s">
        <v>20</v>
      </c>
      <c r="B29" s="8">
        <v>1200</v>
      </c>
      <c r="C29" s="8">
        <v>170956.61</v>
      </c>
      <c r="D29" s="8">
        <v>138119</v>
      </c>
      <c r="E29" s="8">
        <v>32837.61</v>
      </c>
      <c r="F29" s="10">
        <v>0.1921</v>
      </c>
      <c r="G29" s="10">
        <v>0.5823</v>
      </c>
    </row>
    <row r="30" spans="1:7">
      <c r="A30" s="7" t="s">
        <v>21</v>
      </c>
      <c r="B30" s="8">
        <v>2321</v>
      </c>
      <c r="C30" s="8">
        <v>22255.79</v>
      </c>
      <c r="D30" s="8">
        <v>4307.1</v>
      </c>
      <c r="E30" s="8">
        <v>17948.69</v>
      </c>
      <c r="F30" s="10">
        <v>0.8065</v>
      </c>
      <c r="G30" s="10">
        <v>0.3183</v>
      </c>
    </row>
    <row r="31" spans="1:7">
      <c r="A31" s="7" t="s">
        <v>22</v>
      </c>
      <c r="B31" s="8">
        <v>878</v>
      </c>
      <c r="C31" s="8">
        <v>7743.22</v>
      </c>
      <c r="D31" s="8">
        <v>2136.1</v>
      </c>
      <c r="E31" s="8">
        <v>5607.12</v>
      </c>
      <c r="F31" s="10">
        <v>0.7241</v>
      </c>
      <c r="G31" s="10">
        <v>0.0994</v>
      </c>
    </row>
    <row r="48" spans="1:1">
      <c r="A48" s="4" t="s">
        <v>23</v>
      </c>
    </row>
    <row r="49" spans="1:7">
      <c r="A49" s="2" t="s">
        <v>24</v>
      </c>
    </row>
    <row r="50" spans="1:7" ht="27" customHeight="1">
      <c r="A50" s="5" t="s">
        <v>25</v>
      </c>
      <c r="B50" s="6" t="s">
        <v>26</v>
      </c>
      <c r="C50" s="6" t="s">
        <v>14</v>
      </c>
      <c r="D50" s="6" t="s">
        <v>15</v>
      </c>
      <c r="E50" s="6" t="s">
        <v>7</v>
      </c>
      <c r="F50" s="6" t="s">
        <v>17</v>
      </c>
      <c r="G50" s="6" t="s">
        <v>18</v>
      </c>
    </row>
    <row r="51" spans="1:7">
      <c r="A51" s="7" t="s">
        <v>27</v>
      </c>
      <c r="B51" s="8">
        <v>1</v>
      </c>
      <c r="C51" s="11" t="s">
        <v>21</v>
      </c>
      <c r="D51" s="8">
        <v>552</v>
      </c>
      <c r="E51" s="8">
        <v>8274.48</v>
      </c>
      <c r="F51" s="8">
        <v>6535.68</v>
      </c>
      <c r="G51" s="10">
        <v>0.7899</v>
      </c>
    </row>
    <row r="52" spans="1:7">
      <c r="A52" s="7" t="s">
        <v>28</v>
      </c>
      <c r="B52" s="8">
        <v>2</v>
      </c>
      <c r="C52" s="11" t="s">
        <v>20</v>
      </c>
      <c r="D52" s="8">
        <v>187</v>
      </c>
      <c r="E52" s="8">
        <v>34158.11</v>
      </c>
      <c r="F52" s="8">
        <v>6482.11</v>
      </c>
      <c r="G52" s="10">
        <v>0.1898</v>
      </c>
    </row>
    <row r="53" spans="1:7">
      <c r="A53" s="7" t="s">
        <v>29</v>
      </c>
      <c r="B53" s="8">
        <v>3</v>
      </c>
      <c r="C53" s="11" t="s">
        <v>21</v>
      </c>
      <c r="D53" s="8">
        <v>677</v>
      </c>
      <c r="E53" s="8">
        <v>7440.23</v>
      </c>
      <c r="F53" s="8">
        <v>6018.53</v>
      </c>
      <c r="G53" s="10">
        <v>0.8089</v>
      </c>
    </row>
    <row r="54" spans="1:7">
      <c r="A54" s="7" t="s">
        <v>30</v>
      </c>
      <c r="B54" s="8">
        <v>4</v>
      </c>
      <c r="C54" s="11" t="s">
        <v>21</v>
      </c>
      <c r="D54" s="8">
        <v>1092</v>
      </c>
      <c r="E54" s="8">
        <v>6541.08</v>
      </c>
      <c r="F54" s="8">
        <v>5394.48</v>
      </c>
      <c r="G54" s="10">
        <v>0.8247</v>
      </c>
    </row>
    <row r="55" spans="1:7">
      <c r="A55" s="7" t="s">
        <v>31</v>
      </c>
      <c r="B55" s="8">
        <v>5</v>
      </c>
      <c r="C55" s="11" t="s">
        <v>20</v>
      </c>
      <c r="D55" s="8">
        <v>86</v>
      </c>
      <c r="E55" s="8">
        <v>25049.19</v>
      </c>
      <c r="F55" s="8">
        <v>4065.19</v>
      </c>
      <c r="G55" s="10">
        <v>0.1623</v>
      </c>
    </row>
    <row r="56" spans="1:7">
      <c r="A56" s="7" t="s">
        <v>32</v>
      </c>
      <c r="B56" s="8">
        <v>6</v>
      </c>
      <c r="C56" s="11" t="s">
        <v>20</v>
      </c>
      <c r="D56" s="8">
        <v>155</v>
      </c>
      <c r="E56" s="8">
        <v>14980.95</v>
      </c>
      <c r="F56" s="8">
        <v>3200.95</v>
      </c>
      <c r="G56" s="10">
        <v>0.2137</v>
      </c>
    </row>
    <row r="57" spans="1:7">
      <c r="A57" s="7" t="s">
        <v>33</v>
      </c>
      <c r="B57" s="8">
        <v>7</v>
      </c>
      <c r="C57" s="11" t="s">
        <v>22</v>
      </c>
      <c r="D57" s="8">
        <v>514</v>
      </c>
      <c r="E57" s="8">
        <v>4106.86</v>
      </c>
      <c r="F57" s="8">
        <v>2898.96</v>
      </c>
      <c r="G57" s="10">
        <v>0.7059</v>
      </c>
    </row>
    <row r="58" spans="1:7">
      <c r="A58" s="7" t="s">
        <v>34</v>
      </c>
      <c r="B58" s="8">
        <v>8</v>
      </c>
      <c r="C58" s="11" t="s">
        <v>22</v>
      </c>
      <c r="D58" s="8">
        <v>364</v>
      </c>
      <c r="E58" s="8">
        <v>3636.36</v>
      </c>
      <c r="F58" s="8">
        <v>2708.16</v>
      </c>
      <c r="G58" s="10">
        <v>0.7447</v>
      </c>
    </row>
    <row r="59" spans="1:7">
      <c r="A59" s="7" t="s">
        <v>35</v>
      </c>
      <c r="B59" s="8">
        <v>9</v>
      </c>
      <c r="C59" s="11" t="s">
        <v>20</v>
      </c>
      <c r="D59" s="8">
        <v>175</v>
      </c>
      <c r="E59" s="8">
        <v>10680.16</v>
      </c>
      <c r="F59" s="8">
        <v>2630.16</v>
      </c>
      <c r="G59" s="10">
        <v>0.2463</v>
      </c>
    </row>
    <row r="60" spans="1:7">
      <c r="A60" s="7" t="s">
        <v>36</v>
      </c>
      <c r="B60" s="8">
        <v>10</v>
      </c>
      <c r="C60" s="11" t="s">
        <v>20</v>
      </c>
      <c r="D60" s="8">
        <v>55</v>
      </c>
      <c r="E60" s="8">
        <v>14407.46</v>
      </c>
      <c r="F60" s="8">
        <v>2362.46</v>
      </c>
      <c r="G60" s="10">
        <v>0.164</v>
      </c>
    </row>
    <row r="77" spans="1:3">
      <c r="A77" s="4" t="s">
        <v>37</v>
      </c>
    </row>
    <row r="78" spans="1:3">
      <c r="A78" s="2" t="s">
        <v>38</v>
      </c>
    </row>
    <row r="79" spans="1:3" ht="27" customHeight="1">
      <c r="A79" s="5" t="s">
        <v>39</v>
      </c>
      <c r="B79" s="6" t="s">
        <v>40</v>
      </c>
      <c r="C79" s="6" t="s">
        <v>41</v>
      </c>
    </row>
    <row r="80" spans="1:3">
      <c r="A80" s="7" t="s">
        <v>42</v>
      </c>
      <c r="B80" s="8">
        <v>17934.9</v>
      </c>
      <c r="C80" s="10">
        <v>0.369</v>
      </c>
    </row>
    <row r="81" spans="1:3">
      <c r="A81" s="7" t="s">
        <v>43</v>
      </c>
      <c r="B81" s="8">
        <v>15851.1</v>
      </c>
      <c r="C81" s="10">
        <v>0.3261</v>
      </c>
    </row>
    <row r="82" spans="1:3">
      <c r="A82" s="7" t="s">
        <v>44</v>
      </c>
      <c r="B82" s="8">
        <v>6754.06</v>
      </c>
      <c r="C82" s="10">
        <v>0.139</v>
      </c>
    </row>
    <row r="83" spans="1:3">
      <c r="A83" s="7" t="s">
        <v>45</v>
      </c>
      <c r="B83" s="8">
        <v>3223.94</v>
      </c>
      <c r="C83" s="10">
        <v>0.0663</v>
      </c>
    </row>
    <row r="84" spans="1:3">
      <c r="A84" s="7" t="s">
        <v>46</v>
      </c>
      <c r="B84" s="8">
        <v>1036.1</v>
      </c>
      <c r="C84" s="10">
        <v>0.0213</v>
      </c>
    </row>
    <row r="85" spans="1:3">
      <c r="A85" s="7" t="s">
        <v>47</v>
      </c>
      <c r="B85" s="8">
        <v>1003.27</v>
      </c>
      <c r="C85" s="10">
        <v>0.0206</v>
      </c>
    </row>
    <row r="86" spans="1:3">
      <c r="A86" s="7" t="s">
        <v>48</v>
      </c>
      <c r="B86" s="8">
        <v>970</v>
      </c>
      <c r="C86" s="10">
        <v>0.02</v>
      </c>
    </row>
    <row r="87" spans="1:3">
      <c r="A87" s="7" t="s">
        <v>49</v>
      </c>
      <c r="B87" s="8">
        <v>924.4</v>
      </c>
      <c r="C87" s="10">
        <v>0.019</v>
      </c>
    </row>
    <row r="88" spans="1:3">
      <c r="A88" s="7" t="s">
        <v>50</v>
      </c>
      <c r="B88" s="8">
        <v>910</v>
      </c>
      <c r="C88" s="10">
        <v>0.0187</v>
      </c>
    </row>
  </sheetData>
  <pageMargins left="0.4" right="0.4" top="0.5" bottom="0.5" header="0.3" footer="0.3"/>
  <pageSetup paperSize="1" fitToHeight="0" orientation="landscape"/>
  <headerFooter>
    <oddFooter>&amp;L&amp;8Escentials LLC · FY2025 · Illustrative figures&amp;R&amp;8&amp;A</oddFooter>
  </headerFooter>
  <rowBreaks count="3" manualBreakCount="3">
    <brk id="25" max="16383" man="1"/>
    <brk id="47" max="16383" man="1"/>
    <brk id="7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Escentials LLC financial statements, fiscal 2025 (illustrative figures)</dc:title>
  <dc:creator>George Murad</dc:creator>
  <dc:description>Illustrative figures for privacy: modeled on the business's size, channels and products, not its actual results</dc:description>
  <cp:lastModifiedBy>George Murad</cp:lastModifiedBy>
  <dcterms:created xsi:type="dcterms:W3CDTF">2026-09-27T04:21:18Z</dcterms:created>
  <dcterms:modified xsi:type="dcterms:W3CDTF">2026-09-27T04:21:18Z</dcterms:modified>
</cp:coreProperties>
</file>