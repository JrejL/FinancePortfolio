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" sheetId="1" r:id="rId1"/>
  </sheets>
  <definedNames>
    <definedName name="_xlnm.Print_Titles" localSheetId="0">Forecast!$1:$4</definedName>
  </definedNames>
  <calcPr calcId="124519" fullCalcOnLoad="1"/>
</workbook>
</file>

<file path=xl/sharedStrings.xml><?xml version="1.0" encoding="utf-8"?>
<sst xmlns="http://schemas.openxmlformats.org/spreadsheetml/2006/main" count="28" uniqueCount="27">
  <si>
    <t>Forecast, FY2026</t>
  </si>
  <si>
    <t>Monthly forecast from 2025 results and the scenario chosen on the Assumptions sheet. USD.</t>
  </si>
  <si>
    <t>Illustrative figures for privacy: modeled on the business's size, channels and products, not its actual results</t>
  </si>
  <si>
    <t>USD</t>
  </si>
  <si>
    <t>FY 2026</t>
  </si>
  <si>
    <t>Scenario: Base (choose it on the Assumptions sheet)</t>
  </si>
  <si>
    <t>Net revenue: 2025 month grown by scenario</t>
  </si>
  <si>
    <t>Gross margin: 2025 margin plus scenario change</t>
  </si>
  <si>
    <t>Cost of goods sold</t>
  </si>
  <si>
    <t>Gross profit</t>
  </si>
  <si>
    <t>Variable costs at the 2025 rate</t>
  </si>
  <si>
    <t>Fixed costs: software, fees, taxes, G&amp;A</t>
  </si>
  <si>
    <t>Depreciation at the December run rate</t>
  </si>
  <si>
    <t>Total operating expenses</t>
  </si>
  <si>
    <t>Net income</t>
  </si>
  <si>
    <t>Net margin</t>
  </si>
  <si>
    <t>Cash, simplified: before working capital changes</t>
  </si>
  <si>
    <t>Cash, beginning of month</t>
  </si>
  <si>
    <t>Add back depreciation</t>
  </si>
  <si>
    <t>Member distributions</t>
  </si>
  <si>
    <t>Equipment purchases, spread evenly</t>
  </si>
  <si>
    <t>Cash, end of month</t>
  </si>
  <si>
    <t>Spending budget, phased to the forecast</t>
  </si>
  <si>
    <t>Forecast spending: COGS plus cash opex</t>
  </si>
  <si>
    <t>Flat budget at the 2025 level</t>
  </si>
  <si>
    <t>Flat budget less forecast spending</t>
  </si>
  <si>
    <t>Phasing: month's share of annual spending</t>
  </si>
</sst>
</file>

<file path=xl/styles.xml><?xml version="1.0" encoding="utf-8"?>
<styleSheet xmlns="http://schemas.openxmlformats.org/spreadsheetml/2006/main">
  <numFmts count="3">
    <numFmt numFmtId="164" formatCode="mmm yy"/>
    <numFmt numFmtId="165" formatCode="#,##0_);(#,##0);&quot;–&quot;_)"/>
    <numFmt numFmtId="166" formatCode="0.0%_);(0.0%);&quot;–&quot;_)"/>
  </numFmts>
  <fonts count="12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10"/>
      <color rgb="FF595959"/>
      <name val="Arial"/>
      <family val="2"/>
    </font>
    <font>
      <i/>
      <sz val="8"/>
      <color rgb="FF595959"/>
      <name val="Arial"/>
      <family val="2"/>
    </font>
    <font>
      <b/>
      <sz val="10"/>
      <color rgb="FF1F3864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i/>
      <sz val="10"/>
      <color rgb="FF0000FF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EEF3FA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86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0" borderId="0" xfId="0" applyFont="1" applyAlignment="1">
      <alignment vertical="center"/>
    </xf>
    <xf numFmtId="165" fontId="5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indent="1"/>
    </xf>
    <xf numFmtId="165" fontId="7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 indent="1"/>
    </xf>
    <xf numFmtId="166" fontId="8" fillId="0" borderId="0" xfId="0" applyNumberFormat="1" applyFont="1" applyAlignment="1">
      <alignment vertical="center"/>
    </xf>
    <xf numFmtId="166" fontId="9" fillId="0" borderId="0" xfId="0" applyNumberFormat="1" applyFont="1" applyAlignment="1">
      <alignment vertical="center"/>
    </xf>
    <xf numFmtId="0" fontId="10" fillId="0" borderId="2" xfId="0" applyFont="1" applyBorder="1" applyAlignment="1">
      <alignment vertical="center"/>
    </xf>
    <xf numFmtId="165" fontId="11" fillId="0" borderId="2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1" fillId="3" borderId="3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2E75B6"/>
    <pageSetUpPr fitToPage="1"/>
  </sheetPr>
  <dimension ref="A1:O30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44.7109375" customWidth="1"/>
    <col min="2" max="2" width="1.7109375" hidden="1" customWidth="1"/>
    <col min="3" max="14" width="10.28515625" customWidth="1"/>
    <col min="15" max="15" width="11.7109375" customWidth="1"/>
  </cols>
  <sheetData>
    <row r="1" spans="1:15">
      <c r="A1" s="1" t="s">
        <v>0</v>
      </c>
    </row>
    <row r="2" spans="1:15">
      <c r="A2" s="2" t="s">
        <v>1</v>
      </c>
    </row>
    <row r="3" spans="1:15">
      <c r="A3" s="3" t="s">
        <v>2</v>
      </c>
    </row>
    <row r="4" spans="1:15">
      <c r="A4" s="4" t="s">
        <v>3</v>
      </c>
      <c r="C4" s="5">
        <v>46053</v>
      </c>
      <c r="D4" s="5">
        <v>46081</v>
      </c>
      <c r="E4" s="5">
        <v>46112</v>
      </c>
      <c r="F4" s="5">
        <v>46142</v>
      </c>
      <c r="G4" s="5">
        <v>46173</v>
      </c>
      <c r="H4" s="5">
        <v>46203</v>
      </c>
      <c r="I4" s="5">
        <v>46234</v>
      </c>
      <c r="J4" s="5">
        <v>46265</v>
      </c>
      <c r="K4" s="5">
        <v>46295</v>
      </c>
      <c r="L4" s="5">
        <v>46326</v>
      </c>
      <c r="M4" s="5">
        <v>46356</v>
      </c>
      <c r="N4" s="5">
        <v>46387</v>
      </c>
      <c r="O4" s="6" t="s">
        <v>4</v>
      </c>
    </row>
    <row r="5" spans="1:15">
      <c r="A5" s="7" t="s">
        <v>5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>
      <c r="A6" s="9" t="s">
        <v>6</v>
      </c>
      <c r="C6" s="10">
        <v>14978.909</v>
      </c>
      <c r="D6" s="10">
        <v>19124.963</v>
      </c>
      <c r="E6" s="10">
        <v>16707.856</v>
      </c>
      <c r="F6" s="10">
        <v>16004.527</v>
      </c>
      <c r="G6" s="10">
        <v>17752.999</v>
      </c>
      <c r="H6" s="10">
        <v>18657.518</v>
      </c>
      <c r="I6" s="10">
        <v>15053.071</v>
      </c>
      <c r="J6" s="10">
        <v>15660.403</v>
      </c>
      <c r="K6" s="10">
        <v>15858.579</v>
      </c>
      <c r="L6" s="10">
        <v>17163.025</v>
      </c>
      <c r="M6" s="10">
        <v>26543.033</v>
      </c>
      <c r="N6" s="10">
        <v>29502.704</v>
      </c>
      <c r="O6" s="8">
        <f>SUM(C6:N6)</f>
        <v>223007.587</v>
      </c>
    </row>
    <row r="7" spans="1:15">
      <c r="A7" s="11" t="s">
        <v>7</v>
      </c>
      <c r="C7" s="12">
        <v>0.312426814137942</v>
      </c>
      <c r="D7" s="12">
        <v>0.312426814137942</v>
      </c>
      <c r="E7" s="12">
        <v>0.312426814137942</v>
      </c>
      <c r="F7" s="12">
        <v>0.312426814137942</v>
      </c>
      <c r="G7" s="12">
        <v>0.312426814137942</v>
      </c>
      <c r="H7" s="12">
        <v>0.312426814137942</v>
      </c>
      <c r="I7" s="12">
        <v>0.312426814137942</v>
      </c>
      <c r="J7" s="12">
        <v>0.312426814137942</v>
      </c>
      <c r="K7" s="12">
        <v>0.312426814137942</v>
      </c>
      <c r="L7" s="12">
        <v>0.312426814137942</v>
      </c>
      <c r="M7" s="12">
        <v>0.312426814137942</v>
      </c>
      <c r="N7" s="12">
        <v>0.312426814137942</v>
      </c>
      <c r="O7" s="13">
        <f>IFERROR(O9/O6,0)</f>
        <v>0.312426814137942</v>
      </c>
    </row>
    <row r="8" spans="1:15">
      <c r="A8" s="9" t="s">
        <v>8</v>
      </c>
      <c r="C8" s="8">
        <f>C6*(1-C7)</f>
        <v>10299.0961818679</v>
      </c>
      <c r="D8" s="8">
        <f>D6*(1-D7)</f>
        <v>13149.811739404</v>
      </c>
      <c r="E8" s="8">
        <f>E6*(1-E7)</f>
        <v>11487.8737788445</v>
      </c>
      <c r="F8" s="8">
        <f>F6*(1-F7)</f>
        <v>11004.2836176053</v>
      </c>
      <c r="G8" s="8">
        <f>G6*(1-G7)</f>
        <v>12206.4860810359</v>
      </c>
      <c r="H8" s="8">
        <f>H6*(1-H7)</f>
        <v>12828.4090915387</v>
      </c>
      <c r="I8" s="8">
        <f>I6*(1-I7)</f>
        <v>10350.0879844778</v>
      </c>
      <c r="J8" s="8">
        <f>J6*(1-J7)</f>
        <v>10767.6731825937</v>
      </c>
      <c r="K8" s="8">
        <f>K6*(1-K7)</f>
        <v>10903.9336862751</v>
      </c>
      <c r="L8" s="8">
        <f>L6*(1-L7)</f>
        <v>11800.8357782801</v>
      </c>
      <c r="M8" s="8">
        <f>M6*(1-M7)</f>
        <v>18250.2777622517</v>
      </c>
      <c r="N8" s="8">
        <f>N6*(1-N7)</f>
        <v>20285.2681808253</v>
      </c>
      <c r="O8" s="8">
        <f>SUM(C8:N8)</f>
        <v>153334.037065</v>
      </c>
    </row>
    <row r="9" spans="1:15">
      <c r="A9" s="14" t="s">
        <v>9</v>
      </c>
      <c r="C9" s="15">
        <f>C6-C8</f>
        <v>4679.81281813215</v>
      </c>
      <c r="D9" s="15">
        <f>D6-D8</f>
        <v>5975.15126059602</v>
      </c>
      <c r="E9" s="15">
        <f>E6-E8</f>
        <v>5219.9822211555</v>
      </c>
      <c r="F9" s="15">
        <f>F6-F8</f>
        <v>5000.24338239468</v>
      </c>
      <c r="G9" s="15">
        <f>G6-G8</f>
        <v>5546.51291896408</v>
      </c>
      <c r="H9" s="15">
        <f>H6-H8</f>
        <v>5829.10890846131</v>
      </c>
      <c r="I9" s="15">
        <f>I6-I8</f>
        <v>4702.98301552225</v>
      </c>
      <c r="J9" s="15">
        <f>J6-J8</f>
        <v>4892.72981740627</v>
      </c>
      <c r="K9" s="15">
        <f>K6-K8</f>
        <v>4954.64531372488</v>
      </c>
      <c r="L9" s="15">
        <f>L6-L8</f>
        <v>5362.18922171986</v>
      </c>
      <c r="M9" s="15">
        <f>M6-M8</f>
        <v>8292.75523774827</v>
      </c>
      <c r="N9" s="15">
        <f>N6-N8</f>
        <v>9217.43581917473</v>
      </c>
      <c r="O9" s="15">
        <f>SUM(C9:N9)</f>
        <v>69673.549935</v>
      </c>
    </row>
    <row r="10" spans="1:15">
      <c r="A10" s="9" t="s">
        <v>10</v>
      </c>
      <c r="C10" s="10">
        <v>3310.03215240381</v>
      </c>
      <c r="D10" s="10">
        <v>4226.22518392583</v>
      </c>
      <c r="E10" s="10">
        <v>3692.09403420055</v>
      </c>
      <c r="F10" s="10">
        <v>3536.67272790127</v>
      </c>
      <c r="G10" s="10">
        <v>3923.04923486702</v>
      </c>
      <c r="H10" s="10">
        <v>4122.92941121766</v>
      </c>
      <c r="I10" s="10">
        <v>3326.42043572181</v>
      </c>
      <c r="J10" s="10">
        <v>3460.62837083803</v>
      </c>
      <c r="K10" s="10">
        <v>3504.42120860978</v>
      </c>
      <c r="L10" s="10">
        <v>3792.67706229542</v>
      </c>
      <c r="M10" s="10">
        <v>5865.46674743237</v>
      </c>
      <c r="N10" s="10">
        <v>6519.49343058647</v>
      </c>
      <c r="O10" s="8">
        <f>SUM(C10:N10)</f>
        <v>49280.11</v>
      </c>
    </row>
    <row r="11" spans="1:15">
      <c r="A11" s="9" t="s">
        <v>11</v>
      </c>
      <c r="C11" s="10">
        <v>333.171125</v>
      </c>
      <c r="D11" s="10">
        <v>333.171125</v>
      </c>
      <c r="E11" s="10">
        <v>333.171125</v>
      </c>
      <c r="F11" s="10">
        <v>333.171125</v>
      </c>
      <c r="G11" s="10">
        <v>333.171125</v>
      </c>
      <c r="H11" s="10">
        <v>333.171125</v>
      </c>
      <c r="I11" s="10">
        <v>333.171125</v>
      </c>
      <c r="J11" s="10">
        <v>333.171125</v>
      </c>
      <c r="K11" s="10">
        <v>333.171125</v>
      </c>
      <c r="L11" s="10">
        <v>333.171125</v>
      </c>
      <c r="M11" s="10">
        <v>333.171125</v>
      </c>
      <c r="N11" s="10">
        <v>333.171125</v>
      </c>
      <c r="O11" s="8">
        <f>SUM(C11:N11)</f>
        <v>3998.0535</v>
      </c>
    </row>
    <row r="12" spans="1:15">
      <c r="A12" s="9" t="s">
        <v>12</v>
      </c>
      <c r="C12" s="10">
        <v>45.75</v>
      </c>
      <c r="D12" s="10">
        <v>45.75</v>
      </c>
      <c r="E12" s="10">
        <v>45.75</v>
      </c>
      <c r="F12" s="10">
        <v>45.75</v>
      </c>
      <c r="G12" s="10">
        <v>45.75</v>
      </c>
      <c r="H12" s="10">
        <v>45.75</v>
      </c>
      <c r="I12" s="10">
        <v>45.75</v>
      </c>
      <c r="J12" s="10">
        <v>45.75</v>
      </c>
      <c r="K12" s="10">
        <v>45.75</v>
      </c>
      <c r="L12" s="10">
        <v>45.75</v>
      </c>
      <c r="M12" s="10">
        <v>45.75</v>
      </c>
      <c r="N12" s="10">
        <v>45.75</v>
      </c>
      <c r="O12" s="8">
        <f>SUM(C12:N12)</f>
        <v>549</v>
      </c>
    </row>
    <row r="13" spans="1:15">
      <c r="A13" s="14" t="s">
        <v>13</v>
      </c>
      <c r="C13" s="15">
        <f>SUM(C10:C12)</f>
        <v>3688.95327740381</v>
      </c>
      <c r="D13" s="15">
        <f>SUM(D10:D12)</f>
        <v>4605.14630892583</v>
      </c>
      <c r="E13" s="15">
        <f>SUM(E10:E12)</f>
        <v>4071.01515920055</v>
      </c>
      <c r="F13" s="15">
        <f>SUM(F10:F12)</f>
        <v>3915.59385290127</v>
      </c>
      <c r="G13" s="15">
        <f>SUM(G10:G12)</f>
        <v>4301.97035986702</v>
      </c>
      <c r="H13" s="15">
        <f>SUM(H10:H12)</f>
        <v>4501.85053621766</v>
      </c>
      <c r="I13" s="15">
        <f>SUM(I10:I12)</f>
        <v>3705.34156072181</v>
      </c>
      <c r="J13" s="15">
        <f>SUM(J10:J12)</f>
        <v>3839.54949583803</v>
      </c>
      <c r="K13" s="15">
        <f>SUM(K10:K12)</f>
        <v>3883.34233360978</v>
      </c>
      <c r="L13" s="15">
        <f>SUM(L10:L12)</f>
        <v>4171.59818729542</v>
      </c>
      <c r="M13" s="15">
        <f>SUM(M10:M12)</f>
        <v>6244.38787243237</v>
      </c>
      <c r="N13" s="15">
        <f>SUM(N10:N12)</f>
        <v>6898.41455558647</v>
      </c>
      <c r="O13" s="15">
        <f>SUM(C13:N13)</f>
        <v>53827.1635</v>
      </c>
    </row>
    <row r="14" spans="1:15">
      <c r="A14" s="9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>
      <c r="A15" s="16" t="s">
        <v>14</v>
      </c>
      <c r="C15" s="17">
        <f>C9-C13</f>
        <v>990.859540728341</v>
      </c>
      <c r="D15" s="17">
        <f>D9-D13</f>
        <v>1370.0049516702</v>
      </c>
      <c r="E15" s="17">
        <f>E9-E13</f>
        <v>1148.96706195495</v>
      </c>
      <c r="F15" s="17">
        <f>F9-F13</f>
        <v>1084.64952949341</v>
      </c>
      <c r="G15" s="17">
        <f>G9-G13</f>
        <v>1244.54255909706</v>
      </c>
      <c r="H15" s="17">
        <f>H9-H13</f>
        <v>1327.25837224366</v>
      </c>
      <c r="I15" s="17">
        <f>I9-I13</f>
        <v>997.641454800437</v>
      </c>
      <c r="J15" s="17">
        <f>J9-J13</f>
        <v>1053.18032156825</v>
      </c>
      <c r="K15" s="17">
        <f>K9-K13</f>
        <v>1071.3029801151</v>
      </c>
      <c r="L15" s="17">
        <f>L9-L13</f>
        <v>1190.59103442444</v>
      </c>
      <c r="M15" s="17">
        <f>M9-M13</f>
        <v>2048.3673653159</v>
      </c>
      <c r="N15" s="17">
        <f>N9-N13</f>
        <v>2319.02126358826</v>
      </c>
      <c r="O15" s="17">
        <f>SUM(C15:N15)</f>
        <v>15846.386435</v>
      </c>
    </row>
    <row r="16" spans="1:15">
      <c r="A16" s="11" t="s">
        <v>15</v>
      </c>
      <c r="C16" s="13">
        <f>IFERROR(C15/C6,0)</f>
        <v>0.0661503144673848</v>
      </c>
      <c r="D16" s="13">
        <f>IFERROR(D15/D6,0)</f>
        <v>0.0716343844257474</v>
      </c>
      <c r="E16" s="13">
        <f>IFERROR(E15/E6,0)</f>
        <v>0.0687680730522788</v>
      </c>
      <c r="F16" s="13">
        <f>IFERROR(F15/F6,0)</f>
        <v>0.0677714205170455</v>
      </c>
      <c r="G16" s="13">
        <f>IFERROR(G15/G6,0)</f>
        <v>0.0701032292683088</v>
      </c>
      <c r="H16" s="13">
        <f>IFERROR(H15/H6,0)</f>
        <v>0.0711379923226475</v>
      </c>
      <c r="I16" s="13">
        <f>IFERROR(I15/I6,0)</f>
        <v>0.0662749451457737</v>
      </c>
      <c r="J16" s="13">
        <f>IFERROR(J15/J6,0)</f>
        <v>0.0672511634322722</v>
      </c>
      <c r="K16" s="13">
        <f>IFERROR(K15/K6,0)</f>
        <v>0.0675535292358223</v>
      </c>
      <c r="L16" s="13">
        <f>IFERROR(L15/L6,0)</f>
        <v>0.0693695333092177</v>
      </c>
      <c r="M16" s="13">
        <f>IFERROR(M15/M6,0)</f>
        <v>0.0771715638267828</v>
      </c>
      <c r="N16" s="13">
        <f>IFERROR(N15/N6,0)</f>
        <v>0.078603685397388</v>
      </c>
      <c r="O16" s="13">
        <f>IFERROR(O15/O6,0)</f>
        <v>0.0710576113044979</v>
      </c>
    </row>
    <row r="17" spans="1:15">
      <c r="A17" s="9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>
      <c r="A18" s="7" t="s">
        <v>16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>
      <c r="A19" s="9" t="s">
        <v>17</v>
      </c>
      <c r="C19" s="10">
        <v>13286.1690322581</v>
      </c>
      <c r="D19" s="8">
        <f>C24</f>
        <v>13422.7785729864</v>
      </c>
      <c r="E19" s="8">
        <f>D24</f>
        <v>13938.5335246566</v>
      </c>
      <c r="F19" s="8">
        <f>E24</f>
        <v>14233.2505866116</v>
      </c>
      <c r="G19" s="8">
        <f>F24</f>
        <v>14463.650116105</v>
      </c>
      <c r="H19" s="8">
        <f>G24</f>
        <v>14853.942675202</v>
      </c>
      <c r="I19" s="8">
        <f>H24</f>
        <v>15326.9510474457</v>
      </c>
      <c r="J19" s="8">
        <f>I24</f>
        <v>15470.3425022461</v>
      </c>
      <c r="K19" s="8">
        <f>J24</f>
        <v>15669.2728238144</v>
      </c>
      <c r="L19" s="8">
        <f>K24</f>
        <v>15886.3258039295</v>
      </c>
      <c r="M19" s="8">
        <f>L24</f>
        <v>16222.6668383539</v>
      </c>
      <c r="N19" s="8">
        <f>M24</f>
        <v>17416.7842036698</v>
      </c>
      <c r="O19" s="8">
        <f>C19</f>
        <v>13286.1690322581</v>
      </c>
    </row>
    <row r="20" spans="1:15">
      <c r="A20" s="9" t="s">
        <v>14</v>
      </c>
      <c r="C20" s="8">
        <f>C15</f>
        <v>990.859540728341</v>
      </c>
      <c r="D20" s="8">
        <f>D15</f>
        <v>1370.0049516702</v>
      </c>
      <c r="E20" s="8">
        <f>E15</f>
        <v>1148.96706195495</v>
      </c>
      <c r="F20" s="8">
        <f>F15</f>
        <v>1084.64952949341</v>
      </c>
      <c r="G20" s="8">
        <f>G15</f>
        <v>1244.54255909706</v>
      </c>
      <c r="H20" s="8">
        <f>H15</f>
        <v>1327.25837224366</v>
      </c>
      <c r="I20" s="8">
        <f>I15</f>
        <v>997.641454800437</v>
      </c>
      <c r="J20" s="8">
        <f>J15</f>
        <v>1053.18032156825</v>
      </c>
      <c r="K20" s="8">
        <f>K15</f>
        <v>1071.3029801151</v>
      </c>
      <c r="L20" s="8">
        <f>L15</f>
        <v>1190.59103442444</v>
      </c>
      <c r="M20" s="8">
        <f>M15</f>
        <v>2048.3673653159</v>
      </c>
      <c r="N20" s="8">
        <f>N15</f>
        <v>2319.02126358826</v>
      </c>
      <c r="O20" s="8">
        <f>SUM(C20:N20)</f>
        <v>15846.386435</v>
      </c>
    </row>
    <row r="21" spans="1:15">
      <c r="A21" s="9" t="s">
        <v>18</v>
      </c>
      <c r="C21" s="8">
        <f>C12</f>
        <v>45.75</v>
      </c>
      <c r="D21" s="8">
        <f>D12</f>
        <v>45.75</v>
      </c>
      <c r="E21" s="8">
        <f>E12</f>
        <v>45.75</v>
      </c>
      <c r="F21" s="8">
        <f>F12</f>
        <v>45.75</v>
      </c>
      <c r="G21" s="8">
        <f>G12</f>
        <v>45.75</v>
      </c>
      <c r="H21" s="8">
        <f>H12</f>
        <v>45.75</v>
      </c>
      <c r="I21" s="8">
        <f>I12</f>
        <v>45.75</v>
      </c>
      <c r="J21" s="8">
        <f>J12</f>
        <v>45.75</v>
      </c>
      <c r="K21" s="8">
        <f>K12</f>
        <v>45.75</v>
      </c>
      <c r="L21" s="8">
        <f>L12</f>
        <v>45.75</v>
      </c>
      <c r="M21" s="8">
        <f>M12</f>
        <v>45.75</v>
      </c>
      <c r="N21" s="8">
        <f>N12</f>
        <v>45.75</v>
      </c>
      <c r="O21" s="8">
        <f>SUM(C21:N21)</f>
        <v>549</v>
      </c>
    </row>
    <row r="22" spans="1:15">
      <c r="A22" s="9" t="s">
        <v>19</v>
      </c>
      <c r="C22" s="10">
        <v>-800</v>
      </c>
      <c r="D22" s="10">
        <v>-800</v>
      </c>
      <c r="E22" s="10">
        <v>-800</v>
      </c>
      <c r="F22" s="10">
        <v>-800</v>
      </c>
      <c r="G22" s="10">
        <v>-800</v>
      </c>
      <c r="H22" s="10">
        <v>-800</v>
      </c>
      <c r="I22" s="10">
        <v>-800</v>
      </c>
      <c r="J22" s="10">
        <v>-800</v>
      </c>
      <c r="K22" s="10">
        <v>-800</v>
      </c>
      <c r="L22" s="10">
        <v>-800</v>
      </c>
      <c r="M22" s="10">
        <v>-800</v>
      </c>
      <c r="N22" s="10">
        <v>-800</v>
      </c>
      <c r="O22" s="8">
        <f>SUM(C22:N22)</f>
        <v>-9600</v>
      </c>
    </row>
    <row r="23" spans="1:15">
      <c r="A23" s="9" t="s">
        <v>20</v>
      </c>
      <c r="C23" s="10">
        <v>-100</v>
      </c>
      <c r="D23" s="10">
        <v>-100</v>
      </c>
      <c r="E23" s="10">
        <v>-100</v>
      </c>
      <c r="F23" s="10">
        <v>-100</v>
      </c>
      <c r="G23" s="10">
        <v>-100</v>
      </c>
      <c r="H23" s="10">
        <v>-100</v>
      </c>
      <c r="I23" s="10">
        <v>-100</v>
      </c>
      <c r="J23" s="10">
        <v>-100</v>
      </c>
      <c r="K23" s="10">
        <v>-100</v>
      </c>
      <c r="L23" s="10">
        <v>-100</v>
      </c>
      <c r="M23" s="10">
        <v>-100</v>
      </c>
      <c r="N23" s="10">
        <v>-100</v>
      </c>
      <c r="O23" s="8">
        <f>SUM(C23:N23)</f>
        <v>-1200</v>
      </c>
    </row>
    <row r="24" spans="1:15">
      <c r="A24" s="14" t="s">
        <v>21</v>
      </c>
      <c r="C24" s="15">
        <f>SUM(C19:C23)</f>
        <v>13422.7785729864</v>
      </c>
      <c r="D24" s="15">
        <f>SUM(D19:D23)</f>
        <v>13938.5335246566</v>
      </c>
      <c r="E24" s="15">
        <f>SUM(E19:E23)</f>
        <v>14233.2505866116</v>
      </c>
      <c r="F24" s="15">
        <f>SUM(F19:F23)</f>
        <v>14463.650116105</v>
      </c>
      <c r="G24" s="15">
        <f>SUM(G19:G23)</f>
        <v>14853.942675202</v>
      </c>
      <c r="H24" s="15">
        <f>SUM(H19:H23)</f>
        <v>15326.9510474457</v>
      </c>
      <c r="I24" s="15">
        <f>SUM(I19:I23)</f>
        <v>15470.3425022461</v>
      </c>
      <c r="J24" s="15">
        <f>SUM(J19:J23)</f>
        <v>15669.2728238144</v>
      </c>
      <c r="K24" s="15">
        <f>SUM(K19:K23)</f>
        <v>15886.3258039295</v>
      </c>
      <c r="L24" s="15">
        <f>SUM(L19:L23)</f>
        <v>16222.6668383539</v>
      </c>
      <c r="M24" s="15">
        <f>SUM(M19:M23)</f>
        <v>17416.7842036698</v>
      </c>
      <c r="N24" s="15">
        <f>SUM(N19:N23)</f>
        <v>18881.5554672581</v>
      </c>
      <c r="O24" s="15">
        <f>N24</f>
        <v>18881.5554672581</v>
      </c>
    </row>
    <row r="25" spans="1:15">
      <c r="A25" s="9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>
      <c r="A26" s="7" t="s">
        <v>22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15">
      <c r="A27" s="9" t="s">
        <v>23</v>
      </c>
      <c r="C27" s="8">
        <f>C8+C10+C11</f>
        <v>13942.2994592717</v>
      </c>
      <c r="D27" s="8">
        <f>D8+D10+D11</f>
        <v>17709.2080483298</v>
      </c>
      <c r="E27" s="8">
        <f>E8+E10+E11</f>
        <v>15513.138938045</v>
      </c>
      <c r="F27" s="8">
        <f>F8+F10+F11</f>
        <v>14874.1274705066</v>
      </c>
      <c r="G27" s="8">
        <f>G8+G10+G11</f>
        <v>16462.7064409029</v>
      </c>
      <c r="H27" s="8">
        <f>H8+H10+H11</f>
        <v>17284.5096277563</v>
      </c>
      <c r="I27" s="8">
        <f>I8+I10+I11</f>
        <v>14009.6795451996</v>
      </c>
      <c r="J27" s="8">
        <f>J8+J10+J11</f>
        <v>14561.4726784318</v>
      </c>
      <c r="K27" s="8">
        <f>K8+K10+K11</f>
        <v>14741.5260198849</v>
      </c>
      <c r="L27" s="8">
        <f>L8+L10+L11</f>
        <v>15926.6839655756</v>
      </c>
      <c r="M27" s="8">
        <f>M8+M10+M11</f>
        <v>24448.9156346841</v>
      </c>
      <c r="N27" s="8">
        <f>N8+N10+N11</f>
        <v>27137.9327364117</v>
      </c>
      <c r="O27" s="8">
        <f>SUM(C27:N27)</f>
        <v>206612.200565</v>
      </c>
    </row>
    <row r="28" spans="1:15">
      <c r="A28" s="9" t="s">
        <v>24</v>
      </c>
      <c r="C28" s="10">
        <v>20000</v>
      </c>
      <c r="D28" s="10">
        <v>20000</v>
      </c>
      <c r="E28" s="10">
        <v>20000</v>
      </c>
      <c r="F28" s="10">
        <v>20000</v>
      </c>
      <c r="G28" s="10">
        <v>20000</v>
      </c>
      <c r="H28" s="10">
        <v>20000</v>
      </c>
      <c r="I28" s="10">
        <v>20000</v>
      </c>
      <c r="J28" s="10">
        <v>20000</v>
      </c>
      <c r="K28" s="10">
        <v>20000</v>
      </c>
      <c r="L28" s="10">
        <v>20000</v>
      </c>
      <c r="M28" s="10">
        <v>20000</v>
      </c>
      <c r="N28" s="10">
        <v>20000</v>
      </c>
      <c r="O28" s="8">
        <f>SUM(C28:N28)</f>
        <v>240000</v>
      </c>
    </row>
    <row r="29" spans="1:15">
      <c r="A29" s="14" t="s">
        <v>25</v>
      </c>
      <c r="C29" s="15">
        <f>C28-C27</f>
        <v>6057.70054072834</v>
      </c>
      <c r="D29" s="15">
        <f>D28-D27</f>
        <v>2290.7919516702</v>
      </c>
      <c r="E29" s="15">
        <f>E28-E27</f>
        <v>4486.86106195495</v>
      </c>
      <c r="F29" s="15">
        <f>F28-F27</f>
        <v>5125.87252949341</v>
      </c>
      <c r="G29" s="15">
        <f>G28-G27</f>
        <v>3537.29355909706</v>
      </c>
      <c r="H29" s="15">
        <f>H28-H27</f>
        <v>2715.49037224365</v>
      </c>
      <c r="I29" s="15">
        <f>I28-I27</f>
        <v>5990.32045480043</v>
      </c>
      <c r="J29" s="15">
        <f>J28-J27</f>
        <v>5438.52732156825</v>
      </c>
      <c r="K29" s="15">
        <f>K28-K27</f>
        <v>5258.4739801151</v>
      </c>
      <c r="L29" s="15">
        <f>L28-L27</f>
        <v>4073.31603442444</v>
      </c>
      <c r="M29" s="15">
        <f>M28-M27</f>
        <v>-4448.9156346841</v>
      </c>
      <c r="N29" s="15">
        <f>N28-N27</f>
        <v>-7137.93273641174</v>
      </c>
      <c r="O29" s="15">
        <f>SUM(C29:N29)</f>
        <v>33387.799435</v>
      </c>
    </row>
    <row r="30" spans="1:15">
      <c r="A30" s="11" t="s">
        <v>26</v>
      </c>
      <c r="C30" s="13">
        <f>IFERROR(C27/$O$27,0)</f>
        <v>0.0674805235177069</v>
      </c>
      <c r="D30" s="13">
        <f>IFERROR(D27/$O$27,0)</f>
        <v>0.0857123054684203</v>
      </c>
      <c r="E30" s="13">
        <f>IFERROR(E27/$O$27,0)</f>
        <v>0.0750833634007234</v>
      </c>
      <c r="F30" s="13">
        <f>IFERROR(F27/$O$27,0)</f>
        <v>0.0719905573331678</v>
      </c>
      <c r="G30" s="13">
        <f>IFERROR(G27/$O$27,0)</f>
        <v>0.0796792560937068</v>
      </c>
      <c r="H30" s="13">
        <f>IFERROR(H27/$O$27,0)</f>
        <v>0.0836567713837337</v>
      </c>
      <c r="I30" s="13">
        <f>IFERROR(I27/$O$27,0)</f>
        <v>0.0678066421386966</v>
      </c>
      <c r="J30" s="13">
        <f>IFERROR(J27/$O$27,0)</f>
        <v>0.0704773127560331</v>
      </c>
      <c r="K30" s="13">
        <f>IFERROR(K27/$O$27,0)</f>
        <v>0.0713487682700869</v>
      </c>
      <c r="L30" s="13">
        <f>IFERROR(L27/$O$27,0)</f>
        <v>0.0770849152277677</v>
      </c>
      <c r="M30" s="13">
        <f>IFERROR(M27/$O$27,0)</f>
        <v>0.118332390671152</v>
      </c>
      <c r="N30" s="13">
        <f>IFERROR(N27/$O$27,0)</f>
        <v>0.131347193738804</v>
      </c>
      <c r="O30" s="13">
        <f>SUM(C30:N30)</f>
        <v>1</v>
      </c>
    </row>
  </sheetData>
  <pageMargins left="0.4" right="0.4" top="0.5" bottom="0.5" header="0.3" footer="0.3"/>
  <pageSetup paperSize="1" fitToHeight="0" orientation="landscape"/>
  <headerFooter>
    <oddFooter>&amp;L&amp;8Escentials LLC · FY2025 · Illustrative figures&amp;R&amp;8&amp;A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Forecast</vt:lpstr>
      <vt:lpstr>Forecast!Print_Titles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Escentials LLC financial statements, fiscal 2025 (illustrative figures)</dc:title>
  <dc:creator>George Murad</dc:creator>
  <dc:description>Illustrative figures for privacy: modeled on the business's size, channels and products, not its actual results</dc:description>
  <cp:lastModifiedBy>George Murad</cp:lastModifiedBy>
  <dcterms:created xsi:type="dcterms:W3CDTF">2026-09-27T04:21:14Z</dcterms:created>
  <dcterms:modified xsi:type="dcterms:W3CDTF">2026-09-27T04:21:14Z</dcterms:modified>
</cp:coreProperties>
</file>