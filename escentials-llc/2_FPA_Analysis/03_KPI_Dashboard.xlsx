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</sheets>
  <definedNames>
    <definedName name="_xlnm.Print_Area" localSheetId="0">KPIs!$A$1:$O$62</definedName>
  </definedNames>
  <calcPr calcId="124519" fullCalcOnLoad="1"/>
</workbook>
</file>

<file path=xl/sharedStrings.xml><?xml version="1.0" encoding="utf-8"?>
<sst xmlns="http://schemas.openxmlformats.org/spreadsheetml/2006/main" count="45" uniqueCount="43">
  <si>
    <t>KPIs</t>
  </si>
  <si>
    <t>Monthly key performance indicators; the charts are on the next page</t>
  </si>
  <si>
    <t>Illustrative figures for privacy: modeled on the business's size, channels and products, not its actual results</t>
  </si>
  <si>
    <t>USD</t>
  </si>
  <si>
    <t>FY 2025</t>
  </si>
  <si>
    <t>Volume</t>
  </si>
  <si>
    <t>Orders</t>
  </si>
  <si>
    <t>Units sold</t>
  </si>
  <si>
    <t>Average order value, merchandise</t>
  </si>
  <si>
    <t>Profitability</t>
  </si>
  <si>
    <t>Gross margin</t>
  </si>
  <si>
    <t>Operating margin</t>
  </si>
  <si>
    <t>Own brand share of merchandise sales</t>
  </si>
  <si>
    <t>Own brand share of product gross profit</t>
  </si>
  <si>
    <t>Efficiency</t>
  </si>
  <si>
    <t>Return rate, share of merchandise sales</t>
  </si>
  <si>
    <t>eBay fee rate, share of eBay sales</t>
  </si>
  <si>
    <t>Advertising, share of net revenue</t>
  </si>
  <si>
    <t>Inventory, days on hand</t>
  </si>
  <si>
    <t>Cash and budget</t>
  </si>
  <si>
    <t>Cash balance, month end</t>
  </si>
  <si>
    <t>Budget utilization: spending over budget</t>
  </si>
  <si>
    <t>Chart data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</si>
  <si>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</si>
  <si>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</si>
  <si>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</si>
  <si>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</si>
  <si>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</si>
  <si>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</si>
  <si>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</si>
  <si>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</si>
  <si>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</si>
  <si>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</si>
  <si>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</si>
  <si>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</si>
  <si>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</si>
  <si>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revenue</t>
  </si>
  <si>
    <t>Net income</t>
  </si>
  <si>
    <t>Spending</t>
  </si>
  <si>
    <t>Budget</t>
  </si>
  <si>
    <t>eBay</t>
  </si>
  <si>
    <t>Shopify</t>
  </si>
  <si>
    <t>Charts</t>
  </si>
</sst>
</file>

<file path=xl/styles.xml><?xml version="1.0" encoding="utf-8"?>
<styleSheet xmlns="http://schemas.openxmlformats.org/spreadsheetml/2006/main">
  <numFmts count="4">
    <numFmt numFmtId="164" formatCode="mmm yy"/>
    <numFmt numFmtId="165" formatCode="#,##0_);(#,##0);&quot;–&quot;_)"/>
    <numFmt numFmtId="166" formatCode="$#,##0.00_);($#,##0.00);&quot;–&quot;_)"/>
    <numFmt numFmtId="167" formatCode="0.0%_);(0.0%);&quot;–&quot;_)"/>
  </numFmts>
  <fonts count="9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8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indent="1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Net revenue and net income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revenue</c:v>
          </c:tx>
          <c:spPr>
            <a:solidFill>
              <a:srgbClr val="1F3864"/>
            </a:solidFill>
          </c:spP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'KPIs'!$R$28:$AC$28</c:f>
              <c:numCache>
                <c:formatCode>General</c:formatCode>
                <c:ptCount val="12"/>
                <c:pt idx="0">
                  <c:v>13617.19</c:v>
                </c:pt>
                <c:pt idx="1">
                  <c:v>17386.33</c:v>
                </c:pt>
                <c:pt idx="2">
                  <c:v>15188.96</c:v>
                </c:pt>
                <c:pt idx="3">
                  <c:v>14549.57</c:v>
                </c:pt>
                <c:pt idx="4">
                  <c:v>16139.09</c:v>
                </c:pt>
                <c:pt idx="5">
                  <c:v>16961.38</c:v>
                </c:pt>
                <c:pt idx="6">
                  <c:v>13684.61</c:v>
                </c:pt>
                <c:pt idx="7">
                  <c:v>14236.73</c:v>
                </c:pt>
                <c:pt idx="8">
                  <c:v>14416.89</c:v>
                </c:pt>
                <c:pt idx="9">
                  <c:v>15602.75</c:v>
                </c:pt>
                <c:pt idx="10">
                  <c:v>24130.03</c:v>
                </c:pt>
                <c:pt idx="11">
                  <c:v>26820.64</c:v>
                </c:pt>
              </c:numCache>
            </c:numRef>
          </c:val>
        </c:ser>
        <c:gapWidth val="70"/>
        <c:axId val="50010001"/>
        <c:axId val="50010002"/>
      </c:barChart>
      <c:lineChart>
        <c:grouping val="standard"/>
        <c:ser>
          <c:idx val="1"/>
          <c:order val="1"/>
          <c:tx>
            <c:v>Net income (right axis)</c:v>
          </c:tx>
          <c:spPr>
            <a:ln w="28575">
              <a:solidFill>
                <a:srgbClr val="C55A11"/>
              </a:solidFill>
            </a:ln>
          </c:spPr>
          <c:marker>
            <c:symbol val="circle"/>
            <c:size val="5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'KPIs'!$R$29:$AC$29</c:f>
              <c:numCache>
                <c:formatCode>General</c:formatCode>
                <c:ptCount val="12"/>
                <c:pt idx="0">
                  <c:v>856.9900000000021</c:v>
                </c:pt>
                <c:pt idx="1">
                  <c:v>1211.45</c:v>
                </c:pt>
                <c:pt idx="2">
                  <c:v>84.58999999999919</c:v>
                </c:pt>
                <c:pt idx="3">
                  <c:v>245.7</c:v>
                </c:pt>
                <c:pt idx="4">
                  <c:v>1249.11</c:v>
                </c:pt>
                <c:pt idx="5">
                  <c:v>1477.77</c:v>
                </c:pt>
                <c:pt idx="6">
                  <c:v>968.17</c:v>
                </c:pt>
                <c:pt idx="7">
                  <c:v>845.62</c:v>
                </c:pt>
                <c:pt idx="8">
                  <c:v>1445.08</c:v>
                </c:pt>
                <c:pt idx="9">
                  <c:v>1441.17</c:v>
                </c:pt>
                <c:pt idx="10">
                  <c:v>1641.4</c:v>
                </c:pt>
                <c:pt idx="11">
                  <c:v>1747.85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$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$#,##0" sourceLinked="0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Spending against the monthly budget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Actual spending</c:v>
          </c:tx>
          <c:spPr>
            <a:solidFill>
              <a:srgbClr val="2E75B6"/>
            </a:solidFill>
          </c:spP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'KPIs'!$R$30:$AC$30</c:f>
              <c:numCache>
                <c:formatCode>General</c:formatCode>
                <c:ptCount val="12"/>
                <c:pt idx="0">
                  <c:v>12760.2</c:v>
                </c:pt>
                <c:pt idx="1">
                  <c:v>16129.13</c:v>
                </c:pt>
                <c:pt idx="2">
                  <c:v>15058.62</c:v>
                </c:pt>
                <c:pt idx="3">
                  <c:v>14258.12</c:v>
                </c:pt>
                <c:pt idx="4">
                  <c:v>14844.23</c:v>
                </c:pt>
                <c:pt idx="5">
                  <c:v>15437.86</c:v>
                </c:pt>
                <c:pt idx="6">
                  <c:v>12670.69</c:v>
                </c:pt>
                <c:pt idx="7">
                  <c:v>13345.36</c:v>
                </c:pt>
                <c:pt idx="8">
                  <c:v>12926.06</c:v>
                </c:pt>
                <c:pt idx="9">
                  <c:v>14115.83</c:v>
                </c:pt>
                <c:pt idx="10">
                  <c:v>22442.88</c:v>
                </c:pt>
                <c:pt idx="11">
                  <c:v>25027.04</c:v>
                </c:pt>
              </c:numCache>
            </c:numRef>
          </c:val>
        </c:ser>
        <c:gapWidth val="70"/>
        <c:axId val="50020001"/>
        <c:axId val="50020002"/>
      </c:barChart>
      <c:lineChart>
        <c:grouping val="standard"/>
        <c:ser>
          <c:idx val="1"/>
          <c:order val="1"/>
          <c:tx>
            <c:v>Budget</c:v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'KPIs'!$R$31:$AC$31</c:f>
              <c:numCache>
                <c:formatCode>General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$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Gross and operating margin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Gross margin</c:v>
          </c:tx>
          <c:spPr>
            <a:ln w="28575">
              <a:solidFill>
                <a:srgbClr val="1F3864"/>
              </a:solidFill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</a:ln>
            </c:spPr>
          </c:marke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'KPIs'!$R$32:$AC$32</c:f>
              <c:numCache>
                <c:formatCode>General</c:formatCode>
                <c:ptCount val="12"/>
                <c:pt idx="0">
                  <c:v>0.300476089413455</c:v>
                </c:pt>
                <c:pt idx="1">
                  <c:v>0.300277861975471</c:v>
                </c:pt>
                <c:pt idx="2">
                  <c:v>0.289902007774067</c:v>
                </c:pt>
                <c:pt idx="3">
                  <c:v>0.305914195402338</c:v>
                </c:pt>
                <c:pt idx="4">
                  <c:v>0.308508100518679</c:v>
                </c:pt>
                <c:pt idx="5">
                  <c:v>0.30333793594625</c:v>
                </c:pt>
                <c:pt idx="6">
                  <c:v>0.314880000233839</c:v>
                </c:pt>
                <c:pt idx="7">
                  <c:v>0.297387813072243</c:v>
                </c:pt>
                <c:pt idx="8">
                  <c:v>0.327112158031309</c:v>
                </c:pt>
                <c:pt idx="9">
                  <c:v>0.320296101648748</c:v>
                </c:pt>
                <c:pt idx="10">
                  <c:v>0.298384626956535</c:v>
                </c:pt>
                <c:pt idx="11">
                  <c:v>0.319863358965334</c:v>
                </c:pt>
              </c:numCache>
            </c:numRef>
          </c:val>
        </c:ser>
        <c:ser>
          <c:idx val="1"/>
          <c:order val="1"/>
          <c:tx>
            <c:v>Operating margin</c:v>
          </c:tx>
          <c:spPr>
            <a:ln w="28575">
              <a:solidFill>
                <a:srgbClr val="C55A11"/>
              </a:solidFill>
            </a:ln>
          </c:spPr>
          <c:marker>
            <c:symbol val="circle"/>
            <c:size val="5"/>
            <c:spPr>
              <a:solidFill>
                <a:srgbClr val="C55A11"/>
              </a:solidFill>
              <a:ln>
                <a:solidFill>
                  <a:srgbClr val="C55A11"/>
                </a:solidFill>
              </a:ln>
            </c:spPr>
          </c:marker>
          <c:cat>
            <c:strRef>
              <c:f>'KPIs'!$R$27:$AC$27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'KPIs'!$R$33:$AC$33</c:f>
              <c:numCache>
                <c:formatCode>General</c:formatCode>
                <c:ptCount val="12"/>
                <c:pt idx="0">
                  <c:v>0.0629344233281611</c:v>
                </c:pt>
                <c:pt idx="1">
                  <c:v>0.0696783047371123</c:v>
                </c:pt>
                <c:pt idx="2">
                  <c:v>0.00556917655981708</c:v>
                </c:pt>
                <c:pt idx="3">
                  <c:v>0.0168870970069906</c:v>
                </c:pt>
                <c:pt idx="4">
                  <c:v>0.0773965570549517</c:v>
                </c:pt>
                <c:pt idx="5">
                  <c:v>0.08712557586705801</c:v>
                </c:pt>
                <c:pt idx="6">
                  <c:v>0.0707488192940829</c:v>
                </c:pt>
                <c:pt idx="7">
                  <c:v>0.0593970666016705</c:v>
                </c:pt>
                <c:pt idx="8">
                  <c:v>0.100235210229113</c:v>
                </c:pt>
                <c:pt idx="9">
                  <c:v>0.0923664097675089</c:v>
                </c:pt>
                <c:pt idx="10">
                  <c:v>0.0680231230545507</c:v>
                </c:pt>
                <c:pt idx="11">
                  <c:v>0.06516809442280259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Merchandise sales by channel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Merchandise sales by channel</c:v>
          </c:tx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'KPIs'!$Q$35:$Q$36</c:f>
              <c:strCache>
                <c:ptCount val="2"/>
                <c:pt idx="0">
                  <c:v>eBay</c:v>
                </c:pt>
                <c:pt idx="1">
                  <c:v>Shopify</c:v>
                </c:pt>
              </c:strCache>
            </c:strRef>
          </c:cat>
          <c:val>
            <c:numRef>
              <c:f>'KPIs'!$R$35:$R$36</c:f>
              <c:numCache>
                <c:formatCode>General</c:formatCode>
                <c:ptCount val="2"/>
                <c:pt idx="0">
                  <c:v>116479.68</c:v>
                </c:pt>
                <c:pt idx="1">
                  <c:v>84475.94</c:v>
                </c:pt>
              </c:numCache>
            </c:numRef>
          </c:val>
        </c:ser>
        <c:firstSliceAng val="0"/>
        <c:holeSize val="55"/>
      </c:doughnutChart>
    </c:plotArea>
    <c:legend>
      <c:legendPos val="b"/>
      <c:layout/>
      <c:txPr>
        <a:bodyPr/>
        <a:lstStyle/>
        <a:p>
          <a:pPr rtl="0">
            <a:defRPr sz="8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27</xdr:row>
      <xdr:rowOff>38100</xdr:rowOff>
    </xdr:from>
    <xdr:to>
      <xdr:col>6</xdr:col>
      <xdr:colOff>28575</xdr:colOff>
      <xdr:row>42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27</xdr:row>
      <xdr:rowOff>38100</xdr:rowOff>
    </xdr:from>
    <xdr:to>
      <xdr:col>15</xdr:col>
      <xdr:colOff>171450</xdr:colOff>
      <xdr:row>42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44</xdr:row>
      <xdr:rowOff>38100</xdr:rowOff>
    </xdr:from>
    <xdr:to>
      <xdr:col>6</xdr:col>
      <xdr:colOff>28575</xdr:colOff>
      <xdr:row>59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44</xdr:row>
      <xdr:rowOff>38100</xdr:rowOff>
    </xdr:from>
    <xdr:to>
      <xdr:col>15</xdr:col>
      <xdr:colOff>171450</xdr:colOff>
      <xdr:row>59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AC3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.7109375" hidden="1" customWidth="1"/>
    <col min="3" max="14" width="10.28515625" customWidth="1"/>
    <col min="15" max="15" width="11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3" t="s">
        <v>2</v>
      </c>
    </row>
    <row r="4" spans="1:15">
      <c r="A4" s="4" t="s">
        <v>3</v>
      </c>
      <c r="C4" s="5">
        <v>45688</v>
      </c>
      <c r="D4" s="5">
        <v>45716</v>
      </c>
      <c r="E4" s="5">
        <v>45747</v>
      </c>
      <c r="F4" s="5">
        <v>45777</v>
      </c>
      <c r="G4" s="5">
        <v>45808</v>
      </c>
      <c r="H4" s="5">
        <v>45838</v>
      </c>
      <c r="I4" s="5">
        <v>45869</v>
      </c>
      <c r="J4" s="5">
        <v>45900</v>
      </c>
      <c r="K4" s="5">
        <v>45930</v>
      </c>
      <c r="L4" s="5">
        <v>45961</v>
      </c>
      <c r="M4" s="5">
        <v>45991</v>
      </c>
      <c r="N4" s="5">
        <v>46022</v>
      </c>
      <c r="O4" s="6" t="s">
        <v>4</v>
      </c>
    </row>
    <row r="5" spans="1:15">
      <c r="A5" s="7" t="s">
        <v>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9" t="s">
        <v>6</v>
      </c>
      <c r="C6" s="10">
        <v>182</v>
      </c>
      <c r="D6" s="10">
        <v>232</v>
      </c>
      <c r="E6" s="10">
        <v>188</v>
      </c>
      <c r="F6" s="10">
        <v>191</v>
      </c>
      <c r="G6" s="10">
        <v>224</v>
      </c>
      <c r="H6" s="10">
        <v>222</v>
      </c>
      <c r="I6" s="10">
        <v>193</v>
      </c>
      <c r="J6" s="10">
        <v>189</v>
      </c>
      <c r="K6" s="10">
        <v>206</v>
      </c>
      <c r="L6" s="10">
        <v>221</v>
      </c>
      <c r="M6" s="10">
        <v>314</v>
      </c>
      <c r="N6" s="10">
        <v>390</v>
      </c>
      <c r="O6" s="10">
        <v>2752</v>
      </c>
    </row>
    <row r="7" spans="1:15">
      <c r="A7" s="9" t="s">
        <v>7</v>
      </c>
      <c r="C7" s="10">
        <v>288</v>
      </c>
      <c r="D7" s="10">
        <v>359</v>
      </c>
      <c r="E7" s="10">
        <v>299</v>
      </c>
      <c r="F7" s="10">
        <v>300</v>
      </c>
      <c r="G7" s="10">
        <v>347</v>
      </c>
      <c r="H7" s="10">
        <v>350</v>
      </c>
      <c r="I7" s="10">
        <v>311</v>
      </c>
      <c r="J7" s="10">
        <v>297</v>
      </c>
      <c r="K7" s="10">
        <v>336</v>
      </c>
      <c r="L7" s="10">
        <v>367</v>
      </c>
      <c r="M7" s="10">
        <v>507</v>
      </c>
      <c r="N7" s="10">
        <v>638</v>
      </c>
      <c r="O7" s="10">
        <v>4399</v>
      </c>
    </row>
    <row r="8" spans="1:15">
      <c r="A8" s="9" t="s">
        <v>8</v>
      </c>
      <c r="C8" s="11">
        <v>72.75675824175821</v>
      </c>
      <c r="D8" s="11">
        <v>75.755</v>
      </c>
      <c r="E8" s="11">
        <v>80.0772872340425</v>
      </c>
      <c r="F8" s="11">
        <v>75.7726178010471</v>
      </c>
      <c r="G8" s="11">
        <v>70.74276785714289</v>
      </c>
      <c r="H8" s="11">
        <v>74.3172522522523</v>
      </c>
      <c r="I8" s="11">
        <v>71.349481865285</v>
      </c>
      <c r="J8" s="11">
        <v>74.9051851851852</v>
      </c>
      <c r="K8" s="11">
        <v>67.0405339805825</v>
      </c>
      <c r="L8" s="11">
        <v>70.15696832579189</v>
      </c>
      <c r="M8" s="11">
        <v>75.6850636942675</v>
      </c>
      <c r="N8" s="11">
        <v>69.89523076923081</v>
      </c>
      <c r="O8" s="11">
        <v>73.021664244186</v>
      </c>
    </row>
    <row r="9" spans="1:15">
      <c r="A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>
      <c r="A10" s="7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>
      <c r="A11" s="9" t="s">
        <v>10</v>
      </c>
      <c r="C11" s="12">
        <v>0.300476089413455</v>
      </c>
      <c r="D11" s="12">
        <v>0.300277861975471</v>
      </c>
      <c r="E11" s="12">
        <v>0.289902007774067</v>
      </c>
      <c r="F11" s="12">
        <v>0.305914195402338</v>
      </c>
      <c r="G11" s="12">
        <v>0.308508100518679</v>
      </c>
      <c r="H11" s="12">
        <v>0.30333793594625</v>
      </c>
      <c r="I11" s="12">
        <v>0.314880000233839</v>
      </c>
      <c r="J11" s="12">
        <v>0.297387813072243</v>
      </c>
      <c r="K11" s="12">
        <v>0.327112158031309</v>
      </c>
      <c r="L11" s="12">
        <v>0.320296101648748</v>
      </c>
      <c r="M11" s="12">
        <v>0.298384626956535</v>
      </c>
      <c r="N11" s="12">
        <v>0.319863358965334</v>
      </c>
      <c r="O11" s="12">
        <v>0.307426814137942</v>
      </c>
    </row>
    <row r="12" spans="1:15">
      <c r="A12" s="9" t="s">
        <v>11</v>
      </c>
      <c r="C12" s="12">
        <v>0.0629344233281611</v>
      </c>
      <c r="D12" s="12">
        <v>0.0696783047371123</v>
      </c>
      <c r="E12" s="12">
        <v>0.00556917655981708</v>
      </c>
      <c r="F12" s="12">
        <v>0.0168870970069906</v>
      </c>
      <c r="G12" s="12">
        <v>0.0773965570549517</v>
      </c>
      <c r="H12" s="12">
        <v>0.08712557586705801</v>
      </c>
      <c r="I12" s="12">
        <v>0.0707488192940829</v>
      </c>
      <c r="J12" s="12">
        <v>0.0593970666016705</v>
      </c>
      <c r="K12" s="12">
        <v>0.100235210229113</v>
      </c>
      <c r="L12" s="12">
        <v>0.0923664097675089</v>
      </c>
      <c r="M12" s="12">
        <v>0.0680231230545507</v>
      </c>
      <c r="N12" s="12">
        <v>0.06516809442280259</v>
      </c>
      <c r="O12" s="12">
        <v>0.0651833876844737</v>
      </c>
    </row>
    <row r="13" spans="1:15">
      <c r="A13" s="9" t="s">
        <v>12</v>
      </c>
      <c r="C13" s="12">
        <v>0.146875823627275</v>
      </c>
      <c r="D13" s="12">
        <v>0.134819256268506</v>
      </c>
      <c r="E13" s="12">
        <v>0.132109737069175</v>
      </c>
      <c r="F13" s="12">
        <v>0.146056298224849</v>
      </c>
      <c r="G13" s="12">
        <v>0.151546914815876</v>
      </c>
      <c r="H13" s="12">
        <v>0.14700974577581</v>
      </c>
      <c r="I13" s="12">
        <v>0.15342490623037</v>
      </c>
      <c r="J13" s="12">
        <v>0.135472145385913</v>
      </c>
      <c r="K13" s="12">
        <v>0.170273743967387</v>
      </c>
      <c r="L13" s="12">
        <v>0.166291618858552</v>
      </c>
      <c r="M13" s="12">
        <v>0.142489557170154</v>
      </c>
      <c r="N13" s="12">
        <v>0.161720068938345</v>
      </c>
      <c r="O13" s="12">
        <v>0.1492817667901</v>
      </c>
    </row>
    <row r="14" spans="1:15">
      <c r="A14" s="9" t="s">
        <v>13</v>
      </c>
      <c r="C14" s="12">
        <v>0.409113659725848</v>
      </c>
      <c r="D14" s="12">
        <v>0.343996554248405</v>
      </c>
      <c r="E14" s="12">
        <v>0.365482281066697</v>
      </c>
      <c r="F14" s="12">
        <v>0.38024472326883</v>
      </c>
      <c r="G14" s="12">
        <v>0.40253673983693</v>
      </c>
      <c r="H14" s="12">
        <v>0.409450500632198</v>
      </c>
      <c r="I14" s="12">
        <v>0.379109639691912</v>
      </c>
      <c r="J14" s="12">
        <v>0.362283290565166</v>
      </c>
      <c r="K14" s="12">
        <v>0.450574293084149</v>
      </c>
      <c r="L14" s="12">
        <v>0.415363796678804</v>
      </c>
      <c r="M14" s="12">
        <v>0.38876916391982</v>
      </c>
      <c r="N14" s="12">
        <v>0.385214650721269</v>
      </c>
      <c r="O14" s="12">
        <v>0.389723946721385</v>
      </c>
    </row>
    <row r="15" spans="1:15">
      <c r="A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>
      <c r="A16" s="7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29">
      <c r="A17" s="9" t="s">
        <v>15</v>
      </c>
      <c r="C17" s="12">
        <v>0.008103170809252269</v>
      </c>
      <c r="D17" s="12">
        <v>0.0441469665141029</v>
      </c>
      <c r="E17" s="12">
        <v>0.0227014725800141</v>
      </c>
      <c r="F17" s="12">
        <v>0.0308708128549387</v>
      </c>
      <c r="G17" s="12">
        <v>0.0166751018213624</v>
      </c>
      <c r="H17" s="12">
        <v>0.00790257012333901</v>
      </c>
      <c r="I17" s="12">
        <v>0.0421387826832093</v>
      </c>
      <c r="J17" s="12">
        <v>0.026761168263512</v>
      </c>
      <c r="K17" s="12">
        <v>0.0012295126481226</v>
      </c>
      <c r="L17" s="12">
        <v>0.0295097805889702</v>
      </c>
      <c r="M17" s="12">
        <v>0.0150561053578124</v>
      </c>
      <c r="N17" s="12">
        <v>0.0512275882511334</v>
      </c>
      <c r="O17" s="12">
        <v>0.0261462207426695</v>
      </c>
    </row>
    <row r="18" spans="1:29">
      <c r="A18" s="9" t="s">
        <v>16</v>
      </c>
      <c r="C18" s="12">
        <v>0.136057015336597</v>
      </c>
      <c r="D18" s="12">
        <v>0.136144685763792</v>
      </c>
      <c r="E18" s="12">
        <v>0.135646533887255</v>
      </c>
      <c r="F18" s="12">
        <v>0.13566107557846</v>
      </c>
      <c r="G18" s="12">
        <v>0.13636314340807</v>
      </c>
      <c r="H18" s="12">
        <v>0.135759355098786</v>
      </c>
      <c r="I18" s="12">
        <v>0.136007005681572</v>
      </c>
      <c r="J18" s="12">
        <v>0.136248990151573</v>
      </c>
      <c r="K18" s="12">
        <v>0.136072287144246</v>
      </c>
      <c r="L18" s="12">
        <v>0.136252532080647</v>
      </c>
      <c r="M18" s="12">
        <v>0.136187942063897</v>
      </c>
      <c r="N18" s="12">
        <v>0.13631894749108</v>
      </c>
      <c r="O18" s="12">
        <v>0.136084680177693</v>
      </c>
    </row>
    <row r="19" spans="1:29">
      <c r="A19" s="9" t="s">
        <v>17</v>
      </c>
      <c r="C19" s="12">
        <v>0.0333783989207759</v>
      </c>
      <c r="D19" s="12">
        <v>0.0292649455060384</v>
      </c>
      <c r="E19" s="12">
        <v>0.0338054745025334</v>
      </c>
      <c r="F19" s="12">
        <v>0.031992698065991</v>
      </c>
      <c r="G19" s="12">
        <v>0.0268528151215465</v>
      </c>
      <c r="H19" s="12">
        <v>0.0242940138125553</v>
      </c>
      <c r="I19" s="12">
        <v>0.0303092305882301</v>
      </c>
      <c r="J19" s="12">
        <v>0.0334627403905251</v>
      </c>
      <c r="K19" s="12">
        <v>0.0336189011638432</v>
      </c>
      <c r="L19" s="12">
        <v>0.0252461905753793</v>
      </c>
      <c r="M19" s="12">
        <v>0.0407061242775082</v>
      </c>
      <c r="N19" s="12">
        <v>0.0452763245023236</v>
      </c>
      <c r="O19" s="12">
        <v>0.0333148575792625</v>
      </c>
    </row>
    <row r="20" spans="1:29">
      <c r="A20" s="9" t="s">
        <v>18</v>
      </c>
      <c r="C20" s="10">
        <v>20.1129431162407</v>
      </c>
      <c r="D20" s="10">
        <v>119.291781360598</v>
      </c>
      <c r="E20" s="10">
        <v>125.70675376181</v>
      </c>
      <c r="F20" s="10">
        <v>85.7128592033729</v>
      </c>
      <c r="G20" s="10">
        <v>46.4954858751577</v>
      </c>
      <c r="H20" s="10">
        <v>151.321923871348</v>
      </c>
      <c r="I20" s="10">
        <v>146.986229287953</v>
      </c>
      <c r="J20" s="10">
        <v>127.982925647857</v>
      </c>
      <c r="K20" s="10">
        <v>72.28922892289231</v>
      </c>
      <c r="L20" s="10">
        <v>220.349654855039</v>
      </c>
      <c r="M20" s="10">
        <v>128.907407407407</v>
      </c>
      <c r="N20" s="10">
        <v>72.88996469455439</v>
      </c>
      <c r="O20" s="10">
        <v>125.296380178843</v>
      </c>
    </row>
    <row r="21" spans="1:29">
      <c r="A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29">
      <c r="A22" s="7" t="s">
        <v>19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29">
      <c r="A23" s="9" t="s">
        <v>20</v>
      </c>
      <c r="C23" s="10">
        <v>4682.3970967742</v>
      </c>
      <c r="D23" s="10">
        <v>7248.32035714286</v>
      </c>
      <c r="E23" s="10">
        <v>6364.42225806452</v>
      </c>
      <c r="F23" s="10">
        <v>5931.663</v>
      </c>
      <c r="G23" s="10">
        <v>7390.64903225806</v>
      </c>
      <c r="H23" s="10">
        <v>6928.552</v>
      </c>
      <c r="I23" s="10">
        <v>6234.89677419355</v>
      </c>
      <c r="J23" s="10">
        <v>7184.95451612903</v>
      </c>
      <c r="K23" s="10">
        <v>8506.081</v>
      </c>
      <c r="L23" s="10">
        <v>6636.83612903226</v>
      </c>
      <c r="M23" s="10">
        <v>10936.747</v>
      </c>
      <c r="N23" s="10">
        <v>13286.1690322581</v>
      </c>
      <c r="O23" s="10">
        <v>13286.1690322581</v>
      </c>
    </row>
    <row r="24" spans="1:29">
      <c r="A24" s="9" t="s">
        <v>21</v>
      </c>
      <c r="C24" s="12">
        <v>0.63801</v>
      </c>
      <c r="D24" s="12">
        <v>0.8064565</v>
      </c>
      <c r="E24" s="12">
        <v>0.752931</v>
      </c>
      <c r="F24" s="12">
        <v>0.712906</v>
      </c>
      <c r="G24" s="12">
        <v>0.7422115</v>
      </c>
      <c r="H24" s="12">
        <v>0.7718930000000001</v>
      </c>
      <c r="I24" s="12">
        <v>0.6335345</v>
      </c>
      <c r="J24" s="12">
        <v>0.667268</v>
      </c>
      <c r="K24" s="12">
        <v>0.646303</v>
      </c>
      <c r="L24" s="12">
        <v>0.7057915</v>
      </c>
      <c r="M24" s="12">
        <v>1.122144</v>
      </c>
      <c r="N24" s="12">
        <v>1.251352</v>
      </c>
      <c r="O24" s="12">
        <v>0.78756675</v>
      </c>
    </row>
    <row r="26" spans="1:29">
      <c r="Q26" s="7" t="s">
        <v>22</v>
      </c>
    </row>
    <row r="27" spans="1:29">
      <c r="A27" s="7" t="s">
        <v>42</v>
      </c>
      <c r="Q27" s="9" t="s">
        <v>23</v>
      </c>
      <c r="R27" s="13" t="s">
        <v>24</v>
      </c>
      <c r="S27" s="13" t="s">
        <v>25</v>
      </c>
      <c r="T27" s="13" t="s">
        <v>26</v>
      </c>
      <c r="U27" s="13" t="s">
        <v>27</v>
      </c>
      <c r="V27" s="13" t="s">
        <v>28</v>
      </c>
      <c r="W27" s="13" t="s">
        <v>29</v>
      </c>
      <c r="X27" s="13" t="s">
        <v>30</v>
      </c>
      <c r="Y27" s="13" t="s">
        <v>31</v>
      </c>
      <c r="Z27" s="13" t="s">
        <v>32</v>
      </c>
      <c r="AA27" s="13" t="s">
        <v>33</v>
      </c>
      <c r="AB27" s="13" t="s">
        <v>34</v>
      </c>
      <c r="AC27" s="13" t="s">
        <v>35</v>
      </c>
    </row>
    <row r="28" spans="1:29">
      <c r="Q28" s="9" t="s">
        <v>36</v>
      </c>
      <c r="R28" s="10">
        <v>13617.19</v>
      </c>
      <c r="S28" s="10">
        <v>17386.33</v>
      </c>
      <c r="T28" s="10">
        <v>15188.96</v>
      </c>
      <c r="U28" s="10">
        <v>14549.57</v>
      </c>
      <c r="V28" s="10">
        <v>16139.09</v>
      </c>
      <c r="W28" s="10">
        <v>16961.38</v>
      </c>
      <c r="X28" s="10">
        <v>13684.61</v>
      </c>
      <c r="Y28" s="10">
        <v>14236.73</v>
      </c>
      <c r="Z28" s="10">
        <v>14416.89</v>
      </c>
      <c r="AA28" s="10">
        <v>15602.75</v>
      </c>
      <c r="AB28" s="10">
        <v>24130.03</v>
      </c>
      <c r="AC28" s="10">
        <v>26820.64</v>
      </c>
    </row>
    <row r="29" spans="1:29">
      <c r="Q29" s="9" t="s">
        <v>37</v>
      </c>
      <c r="R29" s="10">
        <v>856.9900000000021</v>
      </c>
      <c r="S29" s="10">
        <v>1211.45</v>
      </c>
      <c r="T29" s="10">
        <v>84.58999999999919</v>
      </c>
      <c r="U29" s="10">
        <v>245.7</v>
      </c>
      <c r="V29" s="10">
        <v>1249.11</v>
      </c>
      <c r="W29" s="10">
        <v>1477.77</v>
      </c>
      <c r="X29" s="10">
        <v>968.17</v>
      </c>
      <c r="Y29" s="10">
        <v>845.62</v>
      </c>
      <c r="Z29" s="10">
        <v>1445.08</v>
      </c>
      <c r="AA29" s="10">
        <v>1441.17</v>
      </c>
      <c r="AB29" s="10">
        <v>1641.4</v>
      </c>
      <c r="AC29" s="10">
        <v>1747.85</v>
      </c>
    </row>
    <row r="30" spans="1:29">
      <c r="Q30" s="9" t="s">
        <v>38</v>
      </c>
      <c r="R30" s="10">
        <v>12760.2</v>
      </c>
      <c r="S30" s="10">
        <v>16129.13</v>
      </c>
      <c r="T30" s="10">
        <v>15058.62</v>
      </c>
      <c r="U30" s="10">
        <v>14258.12</v>
      </c>
      <c r="V30" s="10">
        <v>14844.23</v>
      </c>
      <c r="W30" s="10">
        <v>15437.86</v>
      </c>
      <c r="X30" s="10">
        <v>12670.69</v>
      </c>
      <c r="Y30" s="10">
        <v>13345.36</v>
      </c>
      <c r="Z30" s="10">
        <v>12926.06</v>
      </c>
      <c r="AA30" s="10">
        <v>14115.83</v>
      </c>
      <c r="AB30" s="10">
        <v>22442.88</v>
      </c>
      <c r="AC30" s="10">
        <v>25027.04</v>
      </c>
    </row>
    <row r="31" spans="1:29">
      <c r="Q31" s="9" t="s">
        <v>39</v>
      </c>
      <c r="R31" s="10">
        <v>20000</v>
      </c>
      <c r="S31" s="10">
        <v>20000</v>
      </c>
      <c r="T31" s="10">
        <v>20000</v>
      </c>
      <c r="U31" s="10">
        <v>20000</v>
      </c>
      <c r="V31" s="10">
        <v>20000</v>
      </c>
      <c r="W31" s="10">
        <v>20000</v>
      </c>
      <c r="X31" s="10">
        <v>20000</v>
      </c>
      <c r="Y31" s="10">
        <v>20000</v>
      </c>
      <c r="Z31" s="10">
        <v>20000</v>
      </c>
      <c r="AA31" s="10">
        <v>20000</v>
      </c>
      <c r="AB31" s="10">
        <v>20000</v>
      </c>
      <c r="AC31" s="10">
        <v>20000</v>
      </c>
    </row>
    <row r="32" spans="1:29">
      <c r="Q32" s="9" t="s">
        <v>10</v>
      </c>
      <c r="R32" s="12">
        <v>0.300476089413455</v>
      </c>
      <c r="S32" s="12">
        <v>0.300277861975471</v>
      </c>
      <c r="T32" s="12">
        <v>0.289902007774067</v>
      </c>
      <c r="U32" s="12">
        <v>0.305914195402338</v>
      </c>
      <c r="V32" s="12">
        <v>0.308508100518679</v>
      </c>
      <c r="W32" s="12">
        <v>0.30333793594625</v>
      </c>
      <c r="X32" s="12">
        <v>0.314880000233839</v>
      </c>
      <c r="Y32" s="12">
        <v>0.297387813072243</v>
      </c>
      <c r="Z32" s="12">
        <v>0.327112158031309</v>
      </c>
      <c r="AA32" s="12">
        <v>0.320296101648748</v>
      </c>
      <c r="AB32" s="12">
        <v>0.298384626956535</v>
      </c>
      <c r="AC32" s="12">
        <v>0.319863358965334</v>
      </c>
    </row>
    <row r="33" spans="17:29">
      <c r="Q33" s="9" t="s">
        <v>11</v>
      </c>
      <c r="R33" s="12">
        <v>0.0629344233281611</v>
      </c>
      <c r="S33" s="12">
        <v>0.0696783047371123</v>
      </c>
      <c r="T33" s="12">
        <v>0.00556917655981708</v>
      </c>
      <c r="U33" s="12">
        <v>0.0168870970069906</v>
      </c>
      <c r="V33" s="12">
        <v>0.0773965570549517</v>
      </c>
      <c r="W33" s="12">
        <v>0.08712557586705801</v>
      </c>
      <c r="X33" s="12">
        <v>0.0707488192940829</v>
      </c>
      <c r="Y33" s="12">
        <v>0.0593970666016705</v>
      </c>
      <c r="Z33" s="12">
        <v>0.100235210229113</v>
      </c>
      <c r="AA33" s="12">
        <v>0.0923664097675089</v>
      </c>
      <c r="AB33" s="12">
        <v>0.0680231230545507</v>
      </c>
      <c r="AC33" s="12">
        <v>0.06516809442280259</v>
      </c>
    </row>
    <row r="35" spans="17:29">
      <c r="Q35" s="9" t="s">
        <v>40</v>
      </c>
      <c r="R35" s="10">
        <v>116479.68</v>
      </c>
    </row>
    <row r="36" spans="17:29">
      <c r="Q36" s="9" t="s">
        <v>41</v>
      </c>
      <c r="R36" s="10">
        <v>84475.94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  <rowBreaks count="1" manualBreakCount="1">
    <brk id="2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KPIs</vt:lpstr>
      <vt:lpstr>KPIs!Print_Area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2026-09-27T04:21:16Z</dcterms:created>
  <dcterms:modified xsi:type="dcterms:W3CDTF">2026-09-27T04:21:16Z</dcterms:modified>
</cp:coreProperties>
</file>