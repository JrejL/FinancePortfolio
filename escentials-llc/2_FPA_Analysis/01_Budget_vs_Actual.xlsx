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vs Actual" sheetId="1" r:id="rId1"/>
  </sheets>
  <calcPr calcId="124519" fullCalcOnLoad="1"/>
</workbook>
</file>

<file path=xl/sharedStrings.xml><?xml version="1.0" encoding="utf-8"?>
<sst xmlns="http://schemas.openxmlformats.org/spreadsheetml/2006/main" count="48" uniqueCount="43">
  <si>
    <t>Budget vs Actual</t>
  </si>
  <si>
    <t>Spending against budget, fiscal 2025. Variance is budget less actual: positive means under budget.</t>
  </si>
  <si>
    <t>Illustrative figures for privacy: modeled on the business's size, channels and products, not its actual results</t>
  </si>
  <si>
    <t>By line, full year</t>
  </si>
  <si>
    <t>Line</t>
  </si>
  <si>
    <t>Budget</t>
  </si>
  <si>
    <t>Actual</t>
  </si>
  <si>
    <t>Variance</t>
  </si>
  <si>
    <t>Variance %</t>
  </si>
  <si>
    <t>Status</t>
  </si>
  <si>
    <t>Designer fragrance COGS</t>
  </si>
  <si>
    <t>Car Perfume and refills COGS</t>
  </si>
  <si>
    <t>Marketplace fees</t>
  </si>
  <si>
    <t>Payment processing</t>
  </si>
  <si>
    <t>Shipping and fulfillment</t>
  </si>
  <si>
    <t>Advertising and marketing</t>
  </si>
  <si>
    <t>Packaging and supplies</t>
  </si>
  <si>
    <t>Software and subscriptions</t>
  </si>
  <si>
    <t>Professional fees</t>
  </si>
  <si>
    <t>Taxes and licenses</t>
  </si>
  <si>
    <t>General and administrative</t>
  </si>
  <si>
    <t>Total spending</t>
  </si>
  <si>
    <t>By month</t>
  </si>
  <si>
    <t>Month</t>
  </si>
  <si>
    <t>Utilization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</si>
  <si>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</si>
  <si>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</si>
  <si>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</si>
  <si>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</si>
  <si>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</si>
  <si>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</si>
  <si>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</si>
  <si>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</si>
  <si>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</si>
  <si>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</si>
  <si>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</si>
  <si>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</si>
  <si>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FY 2025</t>
  </si>
  <si>
    <t>Highlights, found with INDEX and MATCH</t>
  </si>
  <si>
    <t>Largest overspend, month</t>
  </si>
  <si>
    <t>Largest underspend, month</t>
  </si>
  <si>
    <t>Line furthest over budget</t>
  </si>
  <si>
    <t>Line furthest under budget</t>
  </si>
</sst>
</file>

<file path=xl/styles.xml><?xml version="1.0" encoding="utf-8"?>
<styleSheet xmlns="http://schemas.openxmlformats.org/spreadsheetml/2006/main">
  <numFmts count="2">
    <numFmt numFmtId="164" formatCode="#,##0_);(#,##0);&quot;–&quot;_)"/>
    <numFmt numFmtId="165" formatCode="0.0%_);(0.0%);&quot;–&quot;_)"/>
  </numFmts>
  <fonts count="10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164" fontId="9" fillId="3" borderId="2" xfId="0" applyNumberFormat="1" applyFont="1" applyFill="1" applyBorder="1" applyAlignment="1">
      <alignment vertical="center"/>
    </xf>
    <xf numFmtId="165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G40"/>
  <sheetViews>
    <sheetView tabSelected="1" workbookViewId="0"/>
  </sheetViews>
  <sheetFormatPr defaultRowHeight="15"/>
  <cols>
    <col min="1" max="1" width="40.7109375" customWidth="1"/>
    <col min="2" max="7" width="13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>
      <c r="A5" s="4" t="s">
        <v>3</v>
      </c>
    </row>
    <row r="6" spans="1: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spans="1:6">
      <c r="A7" s="7" t="s">
        <v>10</v>
      </c>
      <c r="B7" s="8">
        <v>176400</v>
      </c>
      <c r="C7" s="8">
        <v>134006</v>
      </c>
      <c r="D7" s="9">
        <f>B7-C7</f>
        <v>42394</v>
      </c>
      <c r="E7" s="10">
        <f>IFERROR(D7/B7,0)</f>
        <v>0.240328798185941</v>
      </c>
      <c r="F7" s="11" t="str">
        <f>IF(D7&gt;=0,"Favorable","Unfavorable")</f>
        <v>Favorable</v>
      </c>
    </row>
    <row r="8" spans="1:6">
      <c r="A8" s="7" t="s">
        <v>11</v>
      </c>
      <c r="B8" s="8">
        <v>9600</v>
      </c>
      <c r="C8" s="8">
        <v>6402.25</v>
      </c>
      <c r="D8" s="9">
        <f>B8-C8</f>
        <v>3197.75</v>
      </c>
      <c r="E8" s="10">
        <f>IFERROR(D8/B8,0)</f>
        <v>0.333098958333333</v>
      </c>
      <c r="F8" s="11" t="str">
        <f>IF(D8&gt;=0,"Favorable","Unfavorable")</f>
        <v>Favorable</v>
      </c>
    </row>
    <row r="9" spans="1:6">
      <c r="A9" s="7" t="s">
        <v>12</v>
      </c>
      <c r="B9" s="8">
        <v>14400</v>
      </c>
      <c r="C9" s="8">
        <v>15851.1</v>
      </c>
      <c r="D9" s="9">
        <f>B9-C9</f>
        <v>-1451.1</v>
      </c>
      <c r="E9" s="10">
        <f>IFERROR(D9/B9,0)</f>
        <v>-0.100770833333333</v>
      </c>
      <c r="F9" s="11" t="str">
        <f>IF(D9&gt;=0,"Favorable","Unfavorable")</f>
        <v>Unfavorable</v>
      </c>
    </row>
    <row r="10" spans="1:6">
      <c r="A10" s="7" t="s">
        <v>13</v>
      </c>
      <c r="B10" s="8">
        <v>3600</v>
      </c>
      <c r="C10" s="8">
        <v>3223.94</v>
      </c>
      <c r="D10" s="9">
        <f>B10-C10</f>
        <v>376.06</v>
      </c>
      <c r="E10" s="10">
        <f>IFERROR(D10/B10,0)</f>
        <v>0.104461111111111</v>
      </c>
      <c r="F10" s="11" t="str">
        <f>IF(D10&gt;=0,"Favorable","Unfavorable")</f>
        <v>Favorable</v>
      </c>
    </row>
    <row r="11" spans="1:6">
      <c r="A11" s="7" t="s">
        <v>14</v>
      </c>
      <c r="B11" s="8">
        <v>21600</v>
      </c>
      <c r="C11" s="8">
        <v>17934.9</v>
      </c>
      <c r="D11" s="9">
        <f>B11-C11</f>
        <v>3665.1</v>
      </c>
      <c r="E11" s="10">
        <f>IFERROR(D11/B11,0)</f>
        <v>0.169680555555556</v>
      </c>
      <c r="F11" s="11" t="str">
        <f>IF(D11&gt;=0,"Favorable","Unfavorable")</f>
        <v>Favorable</v>
      </c>
    </row>
    <row r="12" spans="1:6">
      <c r="A12" s="7" t="s">
        <v>15</v>
      </c>
      <c r="B12" s="8">
        <v>6000</v>
      </c>
      <c r="C12" s="8">
        <v>6754.06</v>
      </c>
      <c r="D12" s="9">
        <f>B12-C12</f>
        <v>-754.06</v>
      </c>
      <c r="E12" s="10">
        <f>IFERROR(D12/B12,0)</f>
        <v>-0.125676666666667</v>
      </c>
      <c r="F12" s="11" t="str">
        <f>IF(D12&gt;=0,"Favorable","Unfavorable")</f>
        <v>Unfavorable</v>
      </c>
    </row>
    <row r="13" spans="1:6">
      <c r="A13" s="7" t="s">
        <v>16</v>
      </c>
      <c r="B13" s="8">
        <v>1200</v>
      </c>
      <c r="C13" s="8">
        <v>1036.1</v>
      </c>
      <c r="D13" s="9">
        <f>B13-C13</f>
        <v>163.9</v>
      </c>
      <c r="E13" s="10">
        <f>IFERROR(D13/B13,0)</f>
        <v>0.136583333333333</v>
      </c>
      <c r="F13" s="11" t="str">
        <f>IF(D13&gt;=0,"Favorable","Unfavorable")</f>
        <v>Favorable</v>
      </c>
    </row>
    <row r="14" spans="1:6">
      <c r="A14" s="7" t="s">
        <v>17</v>
      </c>
      <c r="B14" s="8">
        <v>1200</v>
      </c>
      <c r="C14" s="8">
        <v>924.4</v>
      </c>
      <c r="D14" s="9">
        <f>B14-C14</f>
        <v>275.6</v>
      </c>
      <c r="E14" s="10">
        <f>IFERROR(D14/B14,0)</f>
        <v>0.229666666666667</v>
      </c>
      <c r="F14" s="11" t="str">
        <f>IF(D14&gt;=0,"Favorable","Unfavorable")</f>
        <v>Favorable</v>
      </c>
    </row>
    <row r="15" spans="1:6">
      <c r="A15" s="7" t="s">
        <v>18</v>
      </c>
      <c r="B15" s="8">
        <v>1200</v>
      </c>
      <c r="C15" s="8">
        <v>970</v>
      </c>
      <c r="D15" s="9">
        <f>B15-C15</f>
        <v>230</v>
      </c>
      <c r="E15" s="10">
        <f>IFERROR(D15/B15,0)</f>
        <v>0.191666666666667</v>
      </c>
      <c r="F15" s="11" t="str">
        <f>IF(D15&gt;=0,"Favorable","Unfavorable")</f>
        <v>Favorable</v>
      </c>
    </row>
    <row r="16" spans="1:6">
      <c r="A16" s="7" t="s">
        <v>19</v>
      </c>
      <c r="B16" s="8">
        <v>1200</v>
      </c>
      <c r="C16" s="8">
        <v>910</v>
      </c>
      <c r="D16" s="9">
        <f>B16-C16</f>
        <v>290</v>
      </c>
      <c r="E16" s="10">
        <f>IFERROR(D16/B16,0)</f>
        <v>0.241666666666667</v>
      </c>
      <c r="F16" s="11" t="str">
        <f>IF(D16&gt;=0,"Favorable","Unfavorable")</f>
        <v>Favorable</v>
      </c>
    </row>
    <row r="17" spans="1:7">
      <c r="A17" s="7" t="s">
        <v>20</v>
      </c>
      <c r="B17" s="8">
        <v>3600</v>
      </c>
      <c r="C17" s="8">
        <v>1003.27</v>
      </c>
      <c r="D17" s="9">
        <f>B17-C17</f>
        <v>2596.73</v>
      </c>
      <c r="E17" s="10">
        <f>IFERROR(D17/B17,0)</f>
        <v>0.721313888888889</v>
      </c>
      <c r="F17" s="11" t="str">
        <f>IF(D17&gt;=0,"Favorable","Unfavorable")</f>
        <v>Favorable</v>
      </c>
    </row>
    <row r="18" spans="1:7">
      <c r="A18" s="12" t="s">
        <v>21</v>
      </c>
      <c r="B18" s="13">
        <f>SUM(B7:B17)</f>
        <v>240000</v>
      </c>
      <c r="C18" s="13">
        <f>SUM(C7:C17)</f>
        <v>189016.02</v>
      </c>
      <c r="D18" s="13">
        <f>B18-C18</f>
        <v>50983.98</v>
      </c>
      <c r="E18" s="14">
        <f>IFERROR(D18/B18,0)</f>
        <v>0.21243325</v>
      </c>
      <c r="F18" s="15" t="str">
        <f>IF(D18&gt;=0,"Favorable","Unfavorable")</f>
        <v>Favorable</v>
      </c>
    </row>
    <row r="20" spans="1:7">
      <c r="A20" s="4" t="s">
        <v>22</v>
      </c>
    </row>
    <row r="21" spans="1:7">
      <c r="A21" s="5" t="s">
        <v>23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24</v>
      </c>
      <c r="G21" s="6" t="s">
        <v>9</v>
      </c>
    </row>
    <row r="22" spans="1:7">
      <c r="A22" s="7" t="s">
        <v>25</v>
      </c>
      <c r="B22" s="8">
        <v>20000</v>
      </c>
      <c r="C22" s="8">
        <v>12760.2</v>
      </c>
      <c r="D22" s="9">
        <f>B22-C22</f>
        <v>7239.8</v>
      </c>
      <c r="E22" s="10">
        <f>IFERROR(D22/B22,0)</f>
        <v>0.36199</v>
      </c>
      <c r="F22" s="10">
        <f>IFERROR(C22/B22,0)</f>
        <v>0.63801</v>
      </c>
      <c r="G22" s="11" t="str">
        <f>IF(D22&gt;=0,"Favorable","Unfavorable")</f>
        <v>Favorable</v>
      </c>
    </row>
    <row r="23" spans="1:7">
      <c r="A23" s="7" t="s">
        <v>26</v>
      </c>
      <c r="B23" s="8">
        <v>20000</v>
      </c>
      <c r="C23" s="8">
        <v>16129.13</v>
      </c>
      <c r="D23" s="9">
        <f>B23-C23</f>
        <v>3870.87</v>
      </c>
      <c r="E23" s="10">
        <f>IFERROR(D23/B23,0)</f>
        <v>0.1935435</v>
      </c>
      <c r="F23" s="10">
        <f>IFERROR(C23/B23,0)</f>
        <v>0.8064565</v>
      </c>
      <c r="G23" s="11" t="str">
        <f>IF(D23&gt;=0,"Favorable","Unfavorable")</f>
        <v>Favorable</v>
      </c>
    </row>
    <row r="24" spans="1:7">
      <c r="A24" s="7" t="s">
        <v>27</v>
      </c>
      <c r="B24" s="8">
        <v>20000</v>
      </c>
      <c r="C24" s="8">
        <v>15058.62</v>
      </c>
      <c r="D24" s="9">
        <f>B24-C24</f>
        <v>4941.38</v>
      </c>
      <c r="E24" s="10">
        <f>IFERROR(D24/B24,0)</f>
        <v>0.247069</v>
      </c>
      <c r="F24" s="10">
        <f>IFERROR(C24/B24,0)</f>
        <v>0.752931</v>
      </c>
      <c r="G24" s="11" t="str">
        <f>IF(D24&gt;=0,"Favorable","Unfavorable")</f>
        <v>Favorable</v>
      </c>
    </row>
    <row r="25" spans="1:7">
      <c r="A25" s="7" t="s">
        <v>28</v>
      </c>
      <c r="B25" s="8">
        <v>20000</v>
      </c>
      <c r="C25" s="8">
        <v>14258.12</v>
      </c>
      <c r="D25" s="9">
        <f>B25-C25</f>
        <v>5741.88</v>
      </c>
      <c r="E25" s="10">
        <f>IFERROR(D25/B25,0)</f>
        <v>0.287094</v>
      </c>
      <c r="F25" s="10">
        <f>IFERROR(C25/B25,0)</f>
        <v>0.712906</v>
      </c>
      <c r="G25" s="11" t="str">
        <f>IF(D25&gt;=0,"Favorable","Unfavorable")</f>
        <v>Favorable</v>
      </c>
    </row>
    <row r="26" spans="1:7">
      <c r="A26" s="7" t="s">
        <v>29</v>
      </c>
      <c r="B26" s="8">
        <v>20000</v>
      </c>
      <c r="C26" s="8">
        <v>14844.23</v>
      </c>
      <c r="D26" s="9">
        <f>B26-C26</f>
        <v>5155.77</v>
      </c>
      <c r="E26" s="10">
        <f>IFERROR(D26/B26,0)</f>
        <v>0.2577885</v>
      </c>
      <c r="F26" s="10">
        <f>IFERROR(C26/B26,0)</f>
        <v>0.7422115</v>
      </c>
      <c r="G26" s="11" t="str">
        <f>IF(D26&gt;=0,"Favorable","Unfavorable")</f>
        <v>Favorable</v>
      </c>
    </row>
    <row r="27" spans="1:7">
      <c r="A27" s="7" t="s">
        <v>30</v>
      </c>
      <c r="B27" s="8">
        <v>20000</v>
      </c>
      <c r="C27" s="8">
        <v>15437.86</v>
      </c>
      <c r="D27" s="9">
        <f>B27-C27</f>
        <v>4562.14</v>
      </c>
      <c r="E27" s="10">
        <f>IFERROR(D27/B27,0)</f>
        <v>0.228107</v>
      </c>
      <c r="F27" s="10">
        <f>IFERROR(C27/B27,0)</f>
        <v>0.771893</v>
      </c>
      <c r="G27" s="11" t="str">
        <f>IF(D27&gt;=0,"Favorable","Unfavorable")</f>
        <v>Favorable</v>
      </c>
    </row>
    <row r="28" spans="1:7">
      <c r="A28" s="7" t="s">
        <v>31</v>
      </c>
      <c r="B28" s="8">
        <v>20000</v>
      </c>
      <c r="C28" s="8">
        <v>12670.69</v>
      </c>
      <c r="D28" s="9">
        <f>B28-C28</f>
        <v>7329.31</v>
      </c>
      <c r="E28" s="10">
        <f>IFERROR(D28/B28,0)</f>
        <v>0.3664655</v>
      </c>
      <c r="F28" s="10">
        <f>IFERROR(C28/B28,0)</f>
        <v>0.6335345</v>
      </c>
      <c r="G28" s="11" t="str">
        <f>IF(D28&gt;=0,"Favorable","Unfavorable")</f>
        <v>Favorable</v>
      </c>
    </row>
    <row r="29" spans="1:7">
      <c r="A29" s="7" t="s">
        <v>32</v>
      </c>
      <c r="B29" s="8">
        <v>20000</v>
      </c>
      <c r="C29" s="8">
        <v>13345.36</v>
      </c>
      <c r="D29" s="9">
        <f>B29-C29</f>
        <v>6654.64</v>
      </c>
      <c r="E29" s="10">
        <f>IFERROR(D29/B29,0)</f>
        <v>0.332732</v>
      </c>
      <c r="F29" s="10">
        <f>IFERROR(C29/B29,0)</f>
        <v>0.667268</v>
      </c>
      <c r="G29" s="11" t="str">
        <f>IF(D29&gt;=0,"Favorable","Unfavorable")</f>
        <v>Favorable</v>
      </c>
    </row>
    <row r="30" spans="1:7">
      <c r="A30" s="7" t="s">
        <v>33</v>
      </c>
      <c r="B30" s="8">
        <v>20000</v>
      </c>
      <c r="C30" s="8">
        <v>12926.06</v>
      </c>
      <c r="D30" s="9">
        <f>B30-C30</f>
        <v>7073.94</v>
      </c>
      <c r="E30" s="10">
        <f>IFERROR(D30/B30,0)</f>
        <v>0.353697</v>
      </c>
      <c r="F30" s="10">
        <f>IFERROR(C30/B30,0)</f>
        <v>0.646303</v>
      </c>
      <c r="G30" s="11" t="str">
        <f>IF(D30&gt;=0,"Favorable","Unfavorable")</f>
        <v>Favorable</v>
      </c>
    </row>
    <row r="31" spans="1:7">
      <c r="A31" s="7" t="s">
        <v>34</v>
      </c>
      <c r="B31" s="8">
        <v>20000</v>
      </c>
      <c r="C31" s="8">
        <v>14115.83</v>
      </c>
      <c r="D31" s="9">
        <f>B31-C31</f>
        <v>5884.17</v>
      </c>
      <c r="E31" s="10">
        <f>IFERROR(D31/B31,0)</f>
        <v>0.2942085</v>
      </c>
      <c r="F31" s="10">
        <f>IFERROR(C31/B31,0)</f>
        <v>0.7057915</v>
      </c>
      <c r="G31" s="11" t="str">
        <f>IF(D31&gt;=0,"Favorable","Unfavorable")</f>
        <v>Favorable</v>
      </c>
    </row>
    <row r="32" spans="1:7">
      <c r="A32" s="7" t="s">
        <v>35</v>
      </c>
      <c r="B32" s="8">
        <v>20000</v>
      </c>
      <c r="C32" s="8">
        <v>22442.88</v>
      </c>
      <c r="D32" s="9">
        <f>B32-C32</f>
        <v>-2442.88</v>
      </c>
      <c r="E32" s="10">
        <f>IFERROR(D32/B32,0)</f>
        <v>-0.122144</v>
      </c>
      <c r="F32" s="10">
        <f>IFERROR(C32/B32,0)</f>
        <v>1.122144</v>
      </c>
      <c r="G32" s="11" t="str">
        <f>IF(D32&gt;=0,"Favorable","Unfavorable")</f>
        <v>Unfavorable</v>
      </c>
    </row>
    <row r="33" spans="1:7">
      <c r="A33" s="7" t="s">
        <v>36</v>
      </c>
      <c r="B33" s="8">
        <v>20000</v>
      </c>
      <c r="C33" s="8">
        <v>25027.04</v>
      </c>
      <c r="D33" s="9">
        <f>B33-C33</f>
        <v>-5027.04</v>
      </c>
      <c r="E33" s="10">
        <f>IFERROR(D33/B33,0)</f>
        <v>-0.251352</v>
      </c>
      <c r="F33" s="10">
        <f>IFERROR(C33/B33,0)</f>
        <v>1.251352</v>
      </c>
      <c r="G33" s="11" t="str">
        <f>IF(D33&gt;=0,"Favorable","Unfavorable")</f>
        <v>Unfavorable</v>
      </c>
    </row>
    <row r="34" spans="1:7">
      <c r="A34" s="12" t="s">
        <v>37</v>
      </c>
      <c r="B34" s="13">
        <f>SUM(B22:B33)</f>
        <v>240000</v>
      </c>
      <c r="C34" s="13">
        <f>SUM(C22:C33)</f>
        <v>189016.02</v>
      </c>
      <c r="D34" s="13">
        <f>B34-C34</f>
        <v>50983.98</v>
      </c>
      <c r="E34" s="14">
        <f>IFERROR(D34/B34,0)</f>
        <v>0.21243325</v>
      </c>
      <c r="F34" s="14">
        <f>IFERROR(C34/B34,0)</f>
        <v>0.78756675</v>
      </c>
      <c r="G34" s="15" t="str">
        <f>IF(D34&gt;=0,"Favorable","Unfavorable")</f>
        <v>Favorable</v>
      </c>
    </row>
    <row r="36" spans="1:7">
      <c r="A36" s="4" t="s">
        <v>38</v>
      </c>
    </row>
    <row r="37" spans="1:7">
      <c r="A37" s="7" t="s">
        <v>39</v>
      </c>
      <c r="B37" s="16" t="str">
        <f>INDEX(A22:A33,MATCH(MIN(D22:D33),D22:D33,0))</f>
        <v>Dec 2025</v>
      </c>
      <c r="C37" s="9"/>
      <c r="D37" s="9">
        <f>MIN(D22:D33)</f>
        <v>-5027.04</v>
      </c>
    </row>
    <row r="38" spans="1:7">
      <c r="A38" s="7" t="s">
        <v>40</v>
      </c>
      <c r="B38" s="16" t="str">
        <f>INDEX(A22:A33,MATCH(MAX(D22:D33),D22:D33,0))</f>
        <v>Jul 2025</v>
      </c>
      <c r="C38" s="9"/>
      <c r="D38" s="9">
        <f>MAX(D22:D33)</f>
        <v>7329.31</v>
      </c>
    </row>
    <row r="39" spans="1:7">
      <c r="A39" s="7" t="s">
        <v>41</v>
      </c>
      <c r="B39" s="16" t="str">
        <f>INDEX(A7:A17,MATCH(MIN(D7:D17),D7:D17,0))</f>
        <v>Marketplace fees</v>
      </c>
      <c r="C39" s="9"/>
      <c r="D39" s="9">
        <f>MIN(D7:D17)</f>
        <v>-1451.1</v>
      </c>
    </row>
    <row r="40" spans="1:7">
      <c r="A40" s="7" t="s">
        <v>42</v>
      </c>
      <c r="B40" s="16" t="str">
        <f>INDEX(A7:A17,MATCH(MAX(D7:D17),D7:D17,0))</f>
        <v>Designer fragrance COGS</v>
      </c>
      <c r="C40" s="9"/>
      <c r="D40" s="9">
        <f>MAX(D7:D17)</f>
        <v>42394</v>
      </c>
    </row>
  </sheetData>
  <conditionalFormatting sqref="D22:D34">
    <cfRule type="cellIs" dxfId="0" priority="3" operator="greaterThanOrEqual">
      <formula>0</formula>
    </cfRule>
    <cfRule type="cellIs" dxfId="1" priority="4" operator="lessThan">
      <formula>0</formula>
    </cfRule>
  </conditionalFormatting>
  <conditionalFormatting sqref="D7:D18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F7:F18">
    <cfRule type="beginsWith" dxfId="0" priority="5" operator="beginsWith" text="Fav">
      <formula>LEFT(F7,3)="Fav"</formula>
    </cfRule>
    <cfRule type="beginsWith" dxfId="1" priority="6" operator="beginsWith" text="Unf">
      <formula>LEFT(F7,3)="Unf"</formula>
    </cfRule>
  </conditionalFormatting>
  <conditionalFormatting sqref="G22:G34">
    <cfRule type="beginsWith" dxfId="0" priority="7" operator="beginsWith" text="Fav">
      <formula>LEFT(G22,3)="Fav"</formula>
    </cfRule>
    <cfRule type="beginsWith" dxfId="1" priority="8" operator="beginsWith" text="Unf">
      <formula>LEFT(G22,3)="Unf"</formula>
    </cfRule>
  </conditionalFormatting>
  <pageMargins left="0.4" right="0.4" top="0.5" bottom="0.5" header="0.3" footer="0.3"/>
  <pageSetup paperSize="1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vs Actual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2026-09-27T04:21:12Z</dcterms:created>
  <dcterms:modified xsi:type="dcterms:W3CDTF">2026-09-27T04:21:12Z</dcterms:modified>
</cp:coreProperties>
</file>