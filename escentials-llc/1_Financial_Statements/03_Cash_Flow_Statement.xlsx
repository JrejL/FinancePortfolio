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h Flows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<sst xmlns="http://schemas.openxmlformats.org/spreadsheetml/2006/main" count="27" uniqueCount="27">
  <si>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Escentials LLC</t>
  </si>
  <si>
    <t>Statement of Cash Flows</t>
  </si>
  <si>
    <t>For the year ended December 31, 2025 (indirect method)</t>
  </si>
  <si>
    <t>Unaudited. Illustrative figures for privacy: modeled on the business's size, channels and products, not its actual results.</t>
  </si>
  <si>
    <t>USD</t>
  </si>
  <si>
    <t>2025</t>
  </si>
  <si>
    <t>Cash flows from operating activities</t>
  </si>
  <si>
    <t>Net income</t>
  </si>
  <si>
    <t>Adjustments to reconcile net income to net cash from operating activities:</t>
  </si>
  <si>
    <t>Depreciation</t>
  </si>
  <si>
    <t>Changes in operating assets and liabilities:</t>
  </si>
  <si>
    <t>Accounts receivable</t>
  </si>
  <si>
    <t>Inventory</t>
  </si>
  <si>
    <t>Accounts payable</t>
  </si>
  <si>
    <t>Sales tax payable</t>
  </si>
  <si>
    <t>Net cash from operating activities</t>
  </si>
  <si>
    <t>Cash flows from investing activities</t>
  </si>
  <si>
    <t>Purchases of equipment</t>
  </si>
  <si>
    <t>Net cash used in investing activities</t>
  </si>
  <si>
    <t>Cash flows from financing activities</t>
  </si>
  <si>
    <t>Member contributions</t>
  </si>
  <si>
    <t>Member distributions</t>
  </si>
  <si>
    <t>Net cash from financing activities</t>
  </si>
  <si>
    <t>Net change in cash</t>
  </si>
  <si>
    <t>Cash, beginning of year</t>
  </si>
  <si>
    <t>Cash, end of year</t>
  </si>
  <si>
    <t>See the accompanying notes.</t>
  </si>
</sst>
</file>

<file path=xl/styles.xml><?xml version="1.0" encoding="utf-8"?>
<styleSheet xmlns="http://schemas.openxmlformats.org/spreadsheetml/2006/main">
  <numFmts count="2">
    <numFmt numFmtId="164" formatCode="#,##0_);(#,##0);&quot;–&quot;_)"/>
    <numFmt numFmtId="165" formatCode="$#,##0_);($#,##0);&quot;–&quot;_)"/>
  </numFmts>
  <fonts count="1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b/>
      <sz val="12"/>
      <color theme="1"/>
      <name val="Arial"/>
      <family val="2"/>
    </font>
    <font>
      <i/>
      <sz val="10"/>
      <color rgb="FF595959"/>
      <name val="Arial"/>
      <family val="2"/>
    </font>
    <font>
      <i/>
      <sz val="8"/>
      <color rgb="FF595959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EEF3F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 wrapText="1"/>
    </xf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 indent="1"/>
    </xf>
    <xf numFmtId="165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9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  <pageSetUpPr fitToPage="1"/>
  </sheetPr>
  <dimension ref="A1:C31"/>
  <sheetViews>
    <sheetView tabSelected="1" workbookViewId="0"/>
  </sheetViews>
  <sheetFormatPr defaultRowHeight="15"/>
  <cols>
    <col min="1" max="1" width="54.7109375" customWidth="1"/>
    <col min="2" max="2" width="1.7109375" hidden="1" customWidth="1"/>
    <col min="3" max="4" width="16.7109375" customWidth="1"/>
  </cols>
  <sheetData>
    <row r="1" spans="1:3">
      <c r="A1" s="1" t="s">
        <v>0</v>
      </c>
    </row>
    <row r="2" spans="1:3">
      <c r="A2" s="2" t="s">
        <v>1</v>
      </c>
    </row>
    <row r="3" spans="1:3">
      <c r="A3" s="3" t="s">
        <v>2</v>
      </c>
    </row>
    <row r="4" spans="1:3">
      <c r="A4" s="4" t="s">
        <v>3</v>
      </c>
    </row>
    <row r="6" spans="1:3" ht="30" customHeight="1">
      <c r="A6" s="5" t="s">
        <v>4</v>
      </c>
      <c r="C6" s="6" t="s">
        <v>5</v>
      </c>
    </row>
    <row r="7" spans="1:3">
      <c r="A7" s="7" t="s">
        <v>6</v>
      </c>
      <c r="C7" s="8"/>
    </row>
    <row r="8" spans="1:3">
      <c r="A8" s="9" t="s">
        <v>7</v>
      </c>
      <c r="C8" s="10">
        <v>13214.9</v>
      </c>
    </row>
    <row r="9" spans="1:3">
      <c r="A9" s="3" t="s">
        <v>8</v>
      </c>
      <c r="C9" s="8"/>
    </row>
    <row r="10" spans="1:3">
      <c r="A10" s="9" t="s">
        <v>9</v>
      </c>
      <c r="C10" s="11">
        <v>503.25</v>
      </c>
    </row>
    <row r="11" spans="1:3">
      <c r="A11" s="3" t="s">
        <v>10</v>
      </c>
      <c r="C11" s="8"/>
    </row>
    <row r="12" spans="1:3">
      <c r="A12" s="9" t="s">
        <v>11</v>
      </c>
      <c r="C12" s="11">
        <v>-221.545806451612</v>
      </c>
    </row>
    <row r="13" spans="1:3">
      <c r="A13" s="9" t="s">
        <v>12</v>
      </c>
      <c r="C13" s="11">
        <v>-1497.75</v>
      </c>
    </row>
    <row r="14" spans="1:3">
      <c r="A14" s="9" t="s">
        <v>13</v>
      </c>
      <c r="C14" s="11">
        <v>355.354838709678</v>
      </c>
    </row>
    <row r="15" spans="1:3">
      <c r="A15" s="9" t="s">
        <v>14</v>
      </c>
      <c r="C15" s="11">
        <v>78.95999999999989</v>
      </c>
    </row>
    <row r="16" spans="1:3">
      <c r="A16" s="12" t="s">
        <v>15</v>
      </c>
      <c r="C16" s="13">
        <f>SUM(C8:C15)</f>
        <v>12433.1690322581</v>
      </c>
    </row>
    <row r="17" spans="1:3">
      <c r="A17" s="9"/>
      <c r="C17" s="8"/>
    </row>
    <row r="18" spans="1:3">
      <c r="A18" s="7" t="s">
        <v>16</v>
      </c>
      <c r="C18" s="8"/>
    </row>
    <row r="19" spans="1:3">
      <c r="A19" s="9" t="s">
        <v>17</v>
      </c>
      <c r="C19" s="11">
        <v>-1647</v>
      </c>
    </row>
    <row r="20" spans="1:3">
      <c r="A20" s="12" t="s">
        <v>18</v>
      </c>
      <c r="C20" s="13">
        <f>C19</f>
        <v>-1647</v>
      </c>
    </row>
    <row r="21" spans="1:3">
      <c r="A21" s="9"/>
      <c r="C21" s="8"/>
    </row>
    <row r="22" spans="1:3">
      <c r="A22" s="7" t="s">
        <v>19</v>
      </c>
      <c r="C22" s="8"/>
    </row>
    <row r="23" spans="1:3">
      <c r="A23" s="9" t="s">
        <v>20</v>
      </c>
      <c r="C23" s="11">
        <v>2500</v>
      </c>
    </row>
    <row r="24" spans="1:3">
      <c r="A24" s="9" t="s">
        <v>21</v>
      </c>
      <c r="C24" s="11">
        <v>-9000</v>
      </c>
    </row>
    <row r="25" spans="1:3">
      <c r="A25" s="12" t="s">
        <v>22</v>
      </c>
      <c r="C25" s="13">
        <f>C23+C24</f>
        <v>-6500</v>
      </c>
    </row>
    <row r="26" spans="1:3">
      <c r="A26" s="9"/>
      <c r="C26" s="8"/>
    </row>
    <row r="27" spans="1:3">
      <c r="A27" s="12" t="s">
        <v>23</v>
      </c>
      <c r="C27" s="13">
        <f>C16+C20+C25</f>
        <v>4286.16903225806</v>
      </c>
    </row>
    <row r="28" spans="1:3">
      <c r="A28" s="9" t="s">
        <v>24</v>
      </c>
      <c r="C28" s="11">
        <v>9000</v>
      </c>
    </row>
    <row r="29" spans="1:3">
      <c r="A29" s="14" t="s">
        <v>25</v>
      </c>
      <c r="C29" s="15">
        <f>C28+C27</f>
        <v>13286.1690322581</v>
      </c>
    </row>
    <row r="31" spans="1:3">
      <c r="A31" s="4" t="s">
        <v>26</v>
      </c>
    </row>
  </sheetData>
  <pageMargins left="0.7" right="0.7" top="0.7" bottom="0.7" header="0.3" footer="0.3"/>
  <pageSetup paperSize="1" fitToHeight="0" orientation="portrait"/>
  <headerFooter>
    <oddFooter>&amp;L&amp;8Escentials LLC · FY2025 · Illustrative figures&amp;R&amp;8&amp;A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Escentials LLC financial statements, fiscal 2025 (illustrative figures)</dc:title>
  <dc:creator>George Murad</dc:creator>
  <dc:description>Illustrative figures for privacy: modeled on the business's size, channels and products, not its actual results</dc:description>
  <cp:lastModifiedBy>George Murad</cp:lastModifiedBy>
  <dcterms:created xsi:type="dcterms:W3CDTF">2026-09-27T04:21:06Z</dcterms:created>
  <dcterms:modified xsi:type="dcterms:W3CDTF">2026-09-27T04:21:06Z</dcterms:modified>
</cp:coreProperties>
</file>