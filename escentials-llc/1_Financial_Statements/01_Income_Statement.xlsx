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ome Statement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<sst xmlns="http://schemas.openxmlformats.org/spreadsheetml/2006/main" count="30" uniqueCount="30">
  <si>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Escentials LLC</t>
  </si>
  <si>
    <t>Statement of Operations</t>
  </si>
  <si>
    <t>For the year ended December 31, 2025</t>
  </si>
  <si>
    <t>Unaudited. Illustrative figures for privacy: modeled on the business's size, channels and products, not its actual results.</t>
  </si>
  <si>
    <t>USD</t>
  </si>
  <si>
    <t>2025</t>
  </si>
  <si>
    <t>% of net revenue</t>
  </si>
  <si>
    <t>Revenue</t>
  </si>
  <si>
    <t>Merchandise sales</t>
  </si>
  <si>
    <t>Shipping income</t>
  </si>
  <si>
    <t>Less: discounts, returns and refunds</t>
  </si>
  <si>
    <t>Net revenue</t>
  </si>
  <si>
    <t>Cost of goods sold</t>
  </si>
  <si>
    <t>Gross profit</t>
  </si>
  <si>
    <t>Operating expenses</t>
  </si>
  <si>
    <t>Marketplace fees</t>
  </si>
  <si>
    <t>Payment processing</t>
  </si>
  <si>
    <t>Shipping and fulfillment</t>
  </si>
  <si>
    <t>Advertising and marketing</t>
  </si>
  <si>
    <t>Packaging and supplies</t>
  </si>
  <si>
    <t>Software and subscriptions</t>
  </si>
  <si>
    <t>Professional fees</t>
  </si>
  <si>
    <t>Taxes and licenses</t>
  </si>
  <si>
    <t>General and administrative</t>
  </si>
  <si>
    <t>Depreciation</t>
  </si>
  <si>
    <t>Total operating expenses</t>
  </si>
  <si>
    <t>Operating income</t>
  </si>
  <si>
    <t>Net income</t>
  </si>
  <si>
    <t>No income tax is recorded: the LLC is taxed as a pass through entity (Note 7).</t>
  </si>
  <si>
    <t>See the accompanying notes.</t>
  </si>
</sst>
</file>

<file path=xl/styles.xml><?xml version="1.0" encoding="utf-8"?>
<styleSheet xmlns="http://schemas.openxmlformats.org/spreadsheetml/2006/main">
  <numFmts count="3">
    <numFmt numFmtId="164" formatCode="#,##0_);(#,##0);&quot;–&quot;_)"/>
    <numFmt numFmtId="165" formatCode="0.0%_);(0.0%);&quot;–&quot;_)"/>
    <numFmt numFmtId="166" formatCode="$#,##0_);($#,##0);&quot;–&quot;_)"/>
  </numFmts>
  <fonts count="11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b/>
      <sz val="12"/>
      <color theme="1"/>
      <name val="Arial"/>
      <family val="2"/>
    </font>
    <font>
      <i/>
      <sz val="10"/>
      <color rgb="FF595959"/>
      <name val="Arial"/>
      <family val="2"/>
    </font>
    <font>
      <i/>
      <sz val="8"/>
      <color rgb="FF595959"/>
      <name val="Arial"/>
      <family val="2"/>
    </font>
    <font>
      <b/>
      <sz val="10"/>
      <color rgb="FF1F3864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EEF3FA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86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right" vertical="center" wrapText="1"/>
    </xf>
    <xf numFmtId="0" fontId="5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165" fontId="6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 indent="1"/>
    </xf>
    <xf numFmtId="166" fontId="8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0" fontId="9" fillId="0" borderId="2" xfId="0" applyFont="1" applyBorder="1" applyAlignment="1">
      <alignment vertical="center"/>
    </xf>
    <xf numFmtId="166" fontId="10" fillId="0" borderId="2" xfId="0" applyNumberFormat="1" applyFont="1" applyBorder="1" applyAlignment="1">
      <alignment vertical="center"/>
    </xf>
    <xf numFmtId="165" fontId="10" fillId="0" borderId="2" xfId="0" applyNumberFormat="1" applyFont="1" applyBorder="1" applyAlignment="1">
      <alignment vertical="center"/>
    </xf>
    <xf numFmtId="164" fontId="10" fillId="0" borderId="2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6" fontId="10" fillId="3" borderId="3" xfId="0" applyNumberFormat="1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F3864"/>
    <pageSetUpPr fitToPage="1"/>
  </sheetPr>
  <dimension ref="A1:D33"/>
  <sheetViews>
    <sheetView tabSelected="1" workbookViewId="0"/>
  </sheetViews>
  <sheetFormatPr defaultRowHeight="15"/>
  <cols>
    <col min="1" max="1" width="54.7109375" customWidth="1"/>
    <col min="2" max="2" width="1.7109375" hidden="1" customWidth="1"/>
    <col min="3" max="4" width="16.7109375" customWidth="1"/>
  </cols>
  <sheetData>
    <row r="1" spans="1:4">
      <c r="A1" s="1" t="s">
        <v>0</v>
      </c>
    </row>
    <row r="2" spans="1:4">
      <c r="A2" s="2" t="s">
        <v>1</v>
      </c>
    </row>
    <row r="3" spans="1:4">
      <c r="A3" s="3" t="s">
        <v>2</v>
      </c>
    </row>
    <row r="4" spans="1:4">
      <c r="A4" s="4" t="s">
        <v>3</v>
      </c>
    </row>
    <row r="6" spans="1:4" ht="30" customHeight="1">
      <c r="A6" s="5" t="s">
        <v>4</v>
      </c>
      <c r="C6" s="6" t="s">
        <v>5</v>
      </c>
      <c r="D6" s="6" t="s">
        <v>6</v>
      </c>
    </row>
    <row r="7" spans="1:4">
      <c r="A7" s="7" t="s">
        <v>7</v>
      </c>
      <c r="C7" s="8"/>
      <c r="D7" s="9"/>
    </row>
    <row r="8" spans="1:4">
      <c r="A8" s="10" t="s">
        <v>8</v>
      </c>
      <c r="C8" s="11">
        <v>200955.62</v>
      </c>
      <c r="D8" s="9">
        <f>IFERROR(C8/C$11,0)</f>
        <v>0.991227181880588</v>
      </c>
    </row>
    <row r="9" spans="1:4">
      <c r="A9" s="10" t="s">
        <v>9</v>
      </c>
      <c r="C9" s="12">
        <v>7631.26</v>
      </c>
      <c r="D9" s="9">
        <f>IFERROR(C9/C$11,0)</f>
        <v>0.0376417058851007</v>
      </c>
    </row>
    <row r="10" spans="1:4">
      <c r="A10" s="10" t="s">
        <v>10</v>
      </c>
      <c r="C10" s="12">
        <v>-5852.71</v>
      </c>
      <c r="D10" s="9">
        <f>IFERROR(C10/C$11,0)</f>
        <v>-0.0288688877656884</v>
      </c>
    </row>
    <row r="11" spans="1:4">
      <c r="A11" s="13" t="s">
        <v>11</v>
      </c>
      <c r="C11" s="14">
        <f>SUM(C8:C10)</f>
        <v>202734.17</v>
      </c>
      <c r="D11" s="15">
        <f>IFERROR(C11/C$11,0)</f>
        <v>1</v>
      </c>
    </row>
    <row r="12" spans="1:4">
      <c r="A12" s="10" t="s">
        <v>12</v>
      </c>
      <c r="C12" s="12">
        <v>140408.25</v>
      </c>
      <c r="D12" s="9">
        <f>IFERROR(C12/C$11,0)</f>
        <v>0.692573185862058</v>
      </c>
    </row>
    <row r="13" spans="1:4">
      <c r="A13" s="13" t="s">
        <v>13</v>
      </c>
      <c r="C13" s="14">
        <f>C11-C12</f>
        <v>62325.92</v>
      </c>
      <c r="D13" s="15">
        <f>IFERROR(C13/C$11,0)</f>
        <v>0.307426814137942</v>
      </c>
    </row>
    <row r="14" spans="1:4">
      <c r="A14" s="10"/>
      <c r="C14" s="8"/>
      <c r="D14" s="8"/>
    </row>
    <row r="15" spans="1:4">
      <c r="A15" s="7" t="s">
        <v>14</v>
      </c>
      <c r="C15" s="8"/>
      <c r="D15" s="9"/>
    </row>
    <row r="16" spans="1:4">
      <c r="A16" s="10" t="s">
        <v>15</v>
      </c>
      <c r="C16" s="12">
        <v>15851.1</v>
      </c>
      <c r="D16" s="9">
        <f>IFERROR(C16/C$11,0)</f>
        <v>0.0781866224129855</v>
      </c>
    </row>
    <row r="17" spans="1:4">
      <c r="A17" s="10" t="s">
        <v>16</v>
      </c>
      <c r="C17" s="12">
        <v>3223.94</v>
      </c>
      <c r="D17" s="9">
        <f>IFERROR(C17/C$11,0)</f>
        <v>0.015902302014505</v>
      </c>
    </row>
    <row r="18" spans="1:4">
      <c r="A18" s="10" t="s">
        <v>17</v>
      </c>
      <c r="C18" s="12">
        <v>17934.9</v>
      </c>
      <c r="D18" s="9">
        <f>IFERROR(C18/C$11,0)</f>
        <v>0.0884651067947747</v>
      </c>
    </row>
    <row r="19" spans="1:4">
      <c r="A19" s="10" t="s">
        <v>18</v>
      </c>
      <c r="C19" s="12">
        <v>6754.06</v>
      </c>
      <c r="D19" s="9">
        <f>IFERROR(C19/C$11,0)</f>
        <v>0.0333148575792625</v>
      </c>
    </row>
    <row r="20" spans="1:4">
      <c r="A20" s="10" t="s">
        <v>19</v>
      </c>
      <c r="C20" s="12">
        <v>1036.1</v>
      </c>
      <c r="D20" s="9">
        <f>IFERROR(C20/C$11,0)</f>
        <v>0.00511063329876754</v>
      </c>
    </row>
    <row r="21" spans="1:4">
      <c r="A21" s="10" t="s">
        <v>20</v>
      </c>
      <c r="C21" s="12">
        <v>924.4</v>
      </c>
      <c r="D21" s="9">
        <f>IFERROR(C21/C$11,0)</f>
        <v>0.00455966549694114</v>
      </c>
    </row>
    <row r="22" spans="1:4">
      <c r="A22" s="10" t="s">
        <v>21</v>
      </c>
      <c r="C22" s="12">
        <v>970</v>
      </c>
      <c r="D22" s="9">
        <f>IFERROR(C22/C$11,0)</f>
        <v>0.00478459057987117</v>
      </c>
    </row>
    <row r="23" spans="1:4">
      <c r="A23" s="10" t="s">
        <v>22</v>
      </c>
      <c r="C23" s="12">
        <v>910</v>
      </c>
      <c r="D23" s="9">
        <f>IFERROR(C23/C$11,0)</f>
        <v>0.00448863652338429</v>
      </c>
    </row>
    <row r="24" spans="1:4">
      <c r="A24" s="10" t="s">
        <v>23</v>
      </c>
      <c r="C24" s="12">
        <v>1003.27</v>
      </c>
      <c r="D24" s="9">
        <f>IFERROR(C24/C$11,0)</f>
        <v>0.00494869710419314</v>
      </c>
    </row>
    <row r="25" spans="1:4">
      <c r="A25" s="10" t="s">
        <v>24</v>
      </c>
      <c r="C25" s="12">
        <v>503.25</v>
      </c>
      <c r="D25" s="9">
        <f>IFERROR(C25/C$11,0)</f>
        <v>0.00248231464878368</v>
      </c>
    </row>
    <row r="26" spans="1:4">
      <c r="A26" s="13" t="s">
        <v>25</v>
      </c>
      <c r="C26" s="16">
        <f>SUM(C16:C25)</f>
        <v>49111.02</v>
      </c>
      <c r="D26" s="15">
        <f>IFERROR(C26/C$11,0)</f>
        <v>0.242243426453469</v>
      </c>
    </row>
    <row r="27" spans="1:4">
      <c r="A27" s="10"/>
      <c r="C27" s="8"/>
      <c r="D27" s="8"/>
    </row>
    <row r="28" spans="1:4">
      <c r="A28" s="13" t="s">
        <v>26</v>
      </c>
      <c r="C28" s="14">
        <f>C13-C26</f>
        <v>13214.9</v>
      </c>
      <c r="D28" s="15">
        <f>IFERROR(C28/C$11,0)</f>
        <v>0.0651833876844736</v>
      </c>
    </row>
    <row r="29" spans="1:4">
      <c r="A29" s="10"/>
      <c r="C29" s="8"/>
      <c r="D29" s="8"/>
    </row>
    <row r="30" spans="1:4">
      <c r="A30" s="17" t="s">
        <v>27</v>
      </c>
      <c r="C30" s="18">
        <f>C28</f>
        <v>13214.9</v>
      </c>
      <c r="D30" s="19">
        <f>IFERROR(C30/C$11,0)</f>
        <v>0.0651833876844736</v>
      </c>
    </row>
    <row r="32" spans="1:4">
      <c r="A32" s="4" t="s">
        <v>28</v>
      </c>
    </row>
    <row r="33" spans="1:1">
      <c r="A33" s="4" t="s">
        <v>29</v>
      </c>
    </row>
  </sheetData>
  <pageMargins left="0.7" right="0.7" top="0.7" bottom="0.7" header="0.3" footer="0.3"/>
  <pageSetup paperSize="1" fitToHeight="0" orientation="portrait"/>
  <headerFooter>
    <oddFooter>&amp;L&amp;8Escentials LLC · FY2025 · Illustrative figures&amp;R&amp;8&amp;A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Escentials LLC financial statements, fiscal 2025 (illustrative figures)</dc:title>
  <dc:creator>George Murad</dc:creator>
  <dc:description>Illustrative figures for privacy: modeled on the business's size, channels and products, not its actual results</dc:description>
  <cp:lastModifiedBy>George Murad</cp:lastModifiedBy>
  <dcterms:created xsi:type="dcterms:W3CDTF">2026-09-27T04:21:01Z</dcterms:created>
  <dcterms:modified xsi:type="dcterms:W3CDTF">2026-09-27T04:21:01Z</dcterms:modified>
</cp:coreProperties>
</file>