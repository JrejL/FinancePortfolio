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ssumptions" sheetId="2" r:id="rId2"/>
    <sheet name="Fund Activity" sheetId="3" r:id="rId3"/>
    <sheet name="Fund Balance Sheet" sheetId="4" r:id="rId4"/>
    <sheet name="Budget vs Actual" sheetId="5" r:id="rId5"/>
    <sheet name="Forecast" sheetId="6" r:id="rId6"/>
    <sheet name="Options" sheetId="7" r:id="rId7"/>
    <sheet name="Checks" sheetId="8" r:id="rId8"/>
  </sheets>
  <calcPr calcId="124519" fullCalcOnLoad="1"/>
</workbook>
</file>

<file path=xl/sharedStrings.xml><?xml version="1.0" encoding="utf-8"?>
<sst xmlns="http://schemas.openxmlformats.org/spreadsheetml/2006/main" count="226" uniqueCount="140">
  <si>
    <t>City of Palomar Vista, California</t>
  </si>
  <si>
    <t>General Fund budget and reserves for a city of 84,000</t>
  </si>
  <si>
    <t>Fiscal years covered: FY2023, FY2024, FY2025</t>
  </si>
  <si>
    <t>Industry: Local government</t>
  </si>
  <si>
    <t>Role fit: Budget analysis, Government finance</t>
  </si>
  <si>
    <t>Fiscal years end June 30 (FY2025 = July 1, 2024 to June 30, 2025).</t>
  </si>
  <si>
    <t>Governmental funds use modified accrual and report no cash flow statement.</t>
  </si>
  <si>
    <t>Fictional company. All figures are illustrative and were built for this portfolio.</t>
  </si>
  <si>
    <t>Prepared by George Murad</t>
  </si>
  <si>
    <t>Contents</t>
  </si>
  <si>
    <t>Cover</t>
  </si>
  <si>
    <t>Assumptions</t>
  </si>
  <si>
    <t>Fund Activity</t>
  </si>
  <si>
    <t>Fund Balance Sheet</t>
  </si>
  <si>
    <t>Budget vs Actual</t>
  </si>
  <si>
    <t>Forecast</t>
  </si>
  <si>
    <t>Options</t>
  </si>
  <si>
    <t>Checks</t>
  </si>
  <si>
    <t>Color legend</t>
  </si>
  <si>
    <t>Hardcoded input</t>
  </si>
  <si>
    <t>Formula, same sheet</t>
  </si>
  <si>
    <t>Formula, pulls from another sheet</t>
  </si>
  <si>
    <t>($ in thousands)</t>
  </si>
  <si>
    <t>FY2023</t>
  </si>
  <si>
    <t>FY2024</t>
  </si>
  <si>
    <t>FY2025</t>
  </si>
  <si>
    <t>Property taxes</t>
  </si>
  <si>
    <t>Sales and use tax</t>
  </si>
  <si>
    <t>Utility users tax</t>
  </si>
  <si>
    <t>Transient occupancy tax</t>
  </si>
  <si>
    <t>Franchise fees</t>
  </si>
  <si>
    <t>Licenses and permits</t>
  </si>
  <si>
    <t>Charges for services</t>
  </si>
  <si>
    <t>Fines and forfeitures</t>
  </si>
  <si>
    <t>Investment earnings</t>
  </si>
  <si>
    <t>Intergovernmental</t>
  </si>
  <si>
    <t>Other revenue</t>
  </si>
  <si>
    <t>General government</t>
  </si>
  <si>
    <t>Police</t>
  </si>
  <si>
    <t>Fire</t>
  </si>
  <si>
    <t>Public works</t>
  </si>
  <si>
    <t>Parks and recreation</t>
  </si>
  <si>
    <t>Community development</t>
  </si>
  <si>
    <t>Nondepartmental</t>
  </si>
  <si>
    <t>Transfers in</t>
  </si>
  <si>
    <t>Transfers out</t>
  </si>
  <si>
    <t>Fund balance, July 1, 2022</t>
  </si>
  <si>
    <t>Receivables, % of total revenues</t>
  </si>
  <si>
    <t>Due from other funds</t>
  </si>
  <si>
    <t>Prepaid items</t>
  </si>
  <si>
    <t>Accounts payable, % of expenditures</t>
  </si>
  <si>
    <t>Accrued payroll, % of expenditures</t>
  </si>
  <si>
    <t>Unearned revenue</t>
  </si>
  <si>
    <t>Deposits</t>
  </si>
  <si>
    <t>Deferred inflows of resources (unavailable revenue)</t>
  </si>
  <si>
    <t>Committed (economic uncertainty reserve)</t>
  </si>
  <si>
    <t>Assigned (capital replacement)</t>
  </si>
  <si>
    <t>Reserve ratio policy minimum</t>
  </si>
  <si>
    <t>Statement of Revenues, Expenditures and Changes in Fund Balance, General Fund</t>
  </si>
  <si>
    <t>($ in thousands)  For the years ended June 30</t>
  </si>
  <si>
    <t>Revenues</t>
  </si>
  <si>
    <t>Total revenues</t>
  </si>
  <si>
    <t>Expenditures</t>
  </si>
  <si>
    <t>Total expenditures</t>
  </si>
  <si>
    <t>Excess (deficiency) of revenues over expenditures</t>
  </si>
  <si>
    <t>Other financing sources (uses)</t>
  </si>
  <si>
    <t>Total other financing sources (uses)</t>
  </si>
  <si>
    <t>Net change in fund balance</t>
  </si>
  <si>
    <t>Fund balance, beginning</t>
  </si>
  <si>
    <t>Fund balance, ending</t>
  </si>
  <si>
    <t>Balance Sheet, General Fund</t>
  </si>
  <si>
    <t>($ in thousands)  As of June 30</t>
  </si>
  <si>
    <t>Assets</t>
  </si>
  <si>
    <t>Cash and investments</t>
  </si>
  <si>
    <t>Receivables</t>
  </si>
  <si>
    <t>Total assets</t>
  </si>
  <si>
    <t>Liabilities</t>
  </si>
  <si>
    <t>Accounts payable</t>
  </si>
  <si>
    <t>Accrued payroll</t>
  </si>
  <si>
    <t>Total liabilities</t>
  </si>
  <si>
    <t>Deferred inflows of resources</t>
  </si>
  <si>
    <t>Fund balance</t>
  </si>
  <si>
    <t>Nonspendable</t>
  </si>
  <si>
    <t>Committed</t>
  </si>
  <si>
    <t>Assigned</t>
  </si>
  <si>
    <t>Unassigned</t>
  </si>
  <si>
    <t>Total fund balance</t>
  </si>
  <si>
    <t>Total liabilities, deferred inflows and fund balance</t>
  </si>
  <si>
    <t>Reserve ratio (committed plus unassigned / expenditures)</t>
  </si>
  <si>
    <t>Reserve policy minimum</t>
  </si>
  <si>
    <t>Reserve policy minimum, dollars (17% of expenditures)</t>
  </si>
  <si>
    <t>Budgetary Comparison, General Fund, FY2025</t>
  </si>
  <si>
    <t>Adopted</t>
  </si>
  <si>
    <t>Final</t>
  </si>
  <si>
    <t>Actual</t>
  </si>
  <si>
    <t>Variance</t>
  </si>
  <si>
    <t>Variance %</t>
  </si>
  <si>
    <t>Five year forecast with no corrective action</t>
  </si>
  <si>
    <t>FY2026</t>
  </si>
  <si>
    <t>FY2027</t>
  </si>
  <si>
    <t>FY2028</t>
  </si>
  <si>
    <t>FY2029</t>
  </si>
  <si>
    <t>FY2030</t>
  </si>
  <si>
    <t>Operating result</t>
  </si>
  <si>
    <t>Net transfers</t>
  </si>
  <si>
    <t>Ending fund balance</t>
  </si>
  <si>
    <t>Reserve ratio</t>
  </si>
  <si>
    <t>Policy minimum (17% of expenditures)</t>
  </si>
  <si>
    <t>Options to close the gap, FY2026</t>
  </si>
  <si>
    <t>Amount</t>
  </si>
  <si>
    <t>Hold 12 vacant civilian positions</t>
  </si>
  <si>
    <t>Update fees to recover full cost</t>
  </si>
  <si>
    <t>Raise transient occupancy tax from 10% to 12% (needs voter approval)</t>
  </si>
  <si>
    <t>Defer capital transfer for two years</t>
  </si>
  <si>
    <t>Prepay pension payments early for the discount</t>
  </si>
  <si>
    <t>Total, all options</t>
  </si>
  <si>
    <t>FY2026 forecast gap (operating result + net transfers)</t>
  </si>
  <si>
    <t>Remaining gap after options</t>
  </si>
  <si>
    <t>Overall status</t>
  </si>
  <si>
    <t>Check</t>
  </si>
  <si>
    <t>Difference</t>
  </si>
  <si>
    <t>Status</t>
  </si>
  <si>
    <t>Assets equal liabilities, deferred inflows and fund balance (construction check), FY2023</t>
  </si>
  <si>
    <t>Assets equal liabilities, deferred inflows and fund balance (construction check), FY2024</t>
  </si>
  <si>
    <t>Assets equal liabilities, deferred inflows and fund balance (construction check), FY2025</t>
  </si>
  <si>
    <t>Balance sheet fund balance equals Fund Activity ending fund balance, FY2023</t>
  </si>
  <si>
    <t>Balance sheet fund balance equals Fund Activity ending fund balance, FY2024</t>
  </si>
  <si>
    <t>Balance sheet fund balance equals Fund Activity ending fund balance, FY2025</t>
  </si>
  <si>
    <t>Fund balance beginning equals prior year ending, FY2023</t>
  </si>
  <si>
    <t>Fund balance beginning equals prior year ending, FY2024</t>
  </si>
  <si>
    <t>Fund balance beginning equals prior year ending, FY2025</t>
  </si>
  <si>
    <t>Total revenues equal their components, FY2023</t>
  </si>
  <si>
    <t>Total revenues equal their components, FY2024</t>
  </si>
  <si>
    <t>Total revenues equal their components, FY2025</t>
  </si>
  <si>
    <t>Total expenditures equal their components, FY2023</t>
  </si>
  <si>
    <t>Total expenditures equal their components, FY2024</t>
  </si>
  <si>
    <t>Total expenditures equal their components, FY2025</t>
  </si>
  <si>
    <t>Cash and investments is positive, FY2023</t>
  </si>
  <si>
    <t>Cash and investments is positive, FY2024</t>
  </si>
  <si>
    <t>Cash and investments is positive, FY2025</t>
  </si>
</sst>
</file>

<file path=xl/styles.xml><?xml version="1.0" encoding="utf-8"?>
<styleSheet xmlns="http://schemas.openxmlformats.org/spreadsheetml/2006/main">
  <numFmts count="2">
    <numFmt numFmtId="164" formatCode="#,##0_);(#,##0);&quot;-&quot;_)"/>
    <numFmt numFmtId="165" formatCode="0.0%"/>
  </numFmts>
  <fonts count="15">
    <font>
      <sz val="11"/>
      <color theme="1"/>
      <name val="Calibri"/>
      <family val="2"/>
      <scheme val="minor"/>
    </font>
    <font>
      <b/>
      <sz val="16"/>
      <color rgb="FF141413"/>
      <name val="Arial"/>
      <family val="2"/>
    </font>
    <font>
      <sz val="10"/>
      <color rgb="FF141413"/>
      <name val="Georgia"/>
      <family val="2"/>
    </font>
    <font>
      <b/>
      <sz val="12"/>
      <color rgb="FF141413"/>
      <name val="Arial"/>
      <family val="2"/>
    </font>
    <font>
      <u/>
      <sz val="11"/>
      <color rgb="FF6A9BCC"/>
      <name val="Georgia"/>
      <family val="2"/>
    </font>
    <font>
      <sz val="10"/>
      <color rgb="FF0000FF"/>
      <name val="Georgia"/>
      <family val="2"/>
    </font>
    <font>
      <sz val="10"/>
      <color rgb="FF008000"/>
      <name val="Georgia"/>
      <family val="2"/>
    </font>
    <font>
      <i/>
      <sz val="9"/>
      <color rgb="FF141413"/>
      <name val="Georgia"/>
      <family val="2"/>
    </font>
    <font>
      <b/>
      <sz val="11"/>
      <color rgb="FFFAF9F5"/>
      <name val="Arial"/>
      <family val="2"/>
    </font>
    <font>
      <sz val="10"/>
      <color rgb="FF141413"/>
      <name val="Georgia"/>
      <family val="2"/>
    </font>
    <font>
      <b/>
      <sz val="10"/>
      <color rgb="FF141413"/>
      <name val="Georgia"/>
      <family val="2"/>
    </font>
    <font>
      <sz val="10"/>
      <color rgb="FF008000"/>
      <name val="Georgia"/>
      <family val="2"/>
    </font>
    <font>
      <b/>
      <sz val="10"/>
      <color rgb="FF000000"/>
      <name val="Georgia"/>
      <family val="2"/>
    </font>
    <font>
      <sz val="10"/>
      <color rgb="FF000000"/>
      <name val="Georgia"/>
      <family val="2"/>
    </font>
    <font>
      <b/>
      <sz val="10"/>
      <color rgb="FF008000"/>
      <name val="Georgia"/>
      <family val="2"/>
    </font>
  </fonts>
  <fills count="3">
    <fill>
      <patternFill patternType="none"/>
    </fill>
    <fill>
      <patternFill patternType="gray125"/>
    </fill>
    <fill>
      <patternFill patternType="solid">
        <fgColor rgb="FF141413"/>
        <bgColor indexed="64"/>
      </patternFill>
    </fill>
  </fills>
  <borders count="3">
    <border>
      <left/>
      <right/>
      <top/>
      <bottom/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thin">
        <color rgb="FFB0AEA5"/>
      </bottom>
      <diagonal/>
    </border>
    <border>
      <left style="thin">
        <color rgb="FFB0AEA5"/>
      </left>
      <right style="thin">
        <color rgb="FFB0AEA5"/>
      </right>
      <top style="thin">
        <color rgb="FFB0AEA5"/>
      </top>
      <bottom style="double">
        <color rgb="FFB0AEA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10" fillId="0" borderId="1" xfId="0" applyFont="1" applyBorder="1"/>
    <xf numFmtId="0" fontId="9" fillId="0" borderId="1" xfId="0" applyFont="1" applyBorder="1" applyAlignment="1">
      <alignment horizontal="left" indent="1"/>
    </xf>
    <xf numFmtId="164" fontId="11" fillId="0" borderId="1" xfId="0" applyNumberFormat="1" applyFont="1" applyBorder="1" applyAlignment="1">
      <alignment horizontal="left" indent="1"/>
    </xf>
    <xf numFmtId="164" fontId="12" fillId="0" borderId="1" xfId="0" applyNumberFormat="1" applyFont="1" applyBorder="1"/>
    <xf numFmtId="164" fontId="11" fillId="0" borderId="1" xfId="0" applyNumberFormat="1" applyFont="1" applyBorder="1"/>
    <xf numFmtId="164" fontId="13" fillId="0" borderId="1" xfId="0" applyNumberFormat="1" applyFont="1" applyBorder="1"/>
    <xf numFmtId="0" fontId="10" fillId="0" borderId="2" xfId="0" applyFont="1" applyBorder="1"/>
    <xf numFmtId="164" fontId="12" fillId="0" borderId="2" xfId="0" applyNumberFormat="1" applyFont="1" applyBorder="1"/>
    <xf numFmtId="164" fontId="13" fillId="0" borderId="1" xfId="0" applyNumberFormat="1" applyFont="1" applyBorder="1" applyAlignment="1">
      <alignment horizontal="left" indent="1"/>
    </xf>
    <xf numFmtId="165" fontId="11" fillId="0" borderId="1" xfId="0" applyNumberFormat="1" applyFont="1" applyBorder="1" applyAlignment="1">
      <alignment horizontal="left" indent="1"/>
    </xf>
    <xf numFmtId="165" fontId="11" fillId="0" borderId="1" xfId="0" applyNumberFormat="1" applyFont="1" applyBorder="1"/>
    <xf numFmtId="165" fontId="12" fillId="0" borderId="1" xfId="0" applyNumberFormat="1" applyFont="1" applyBorder="1"/>
    <xf numFmtId="164" fontId="14" fillId="0" borderId="2" xfId="0" applyNumberFormat="1" applyFont="1" applyBorder="1"/>
    <xf numFmtId="165" fontId="13" fillId="0" borderId="1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29"/>
  <sheetViews>
    <sheetView showGridLines="0" tabSelected="1" workbookViewId="0"/>
  </sheetViews>
  <sheetFormatPr defaultRowHeight="15"/>
  <cols>
    <col min="1" max="1" width="46.7109375" customWidth="1"/>
    <col min="2" max="2" width="60.7109375" customWidth="1"/>
  </cols>
  <sheetData>
    <row r="2" spans="1:1">
      <c r="A2" s="1" t="s">
        <v>0</v>
      </c>
    </row>
    <row r="4" spans="1:1">
      <c r="A4" s="2" t="s">
        <v>1</v>
      </c>
    </row>
    <row r="6" spans="1:1">
      <c r="A6" s="2" t="s">
        <v>2</v>
      </c>
    </row>
    <row r="8" spans="1:1">
      <c r="A8" s="2" t="s">
        <v>3</v>
      </c>
    </row>
    <row r="9" spans="1:1">
      <c r="A9" s="2" t="s">
        <v>4</v>
      </c>
    </row>
    <row r="10" spans="1:1">
      <c r="A10" s="2" t="s">
        <v>5</v>
      </c>
    </row>
    <row r="11" spans="1:1">
      <c r="A11" s="2" t="s">
        <v>6</v>
      </c>
    </row>
    <row r="13" spans="1:1">
      <c r="A13" s="2" t="s">
        <v>7</v>
      </c>
    </row>
    <row r="14" spans="1:1">
      <c r="A14" s="2" t="s">
        <v>8</v>
      </c>
    </row>
    <row r="16" spans="1:1">
      <c r="A16" s="3" t="s">
        <v>9</v>
      </c>
    </row>
    <row r="17" spans="1:1">
      <c r="A17" s="4" t="s">
        <v>10</v>
      </c>
    </row>
    <row r="18" spans="1:1">
      <c r="A18" s="4" t="s">
        <v>11</v>
      </c>
    </row>
    <row r="19" spans="1:1">
      <c r="A19" s="4" t="s">
        <v>12</v>
      </c>
    </row>
    <row r="20" spans="1:1">
      <c r="A20" s="4" t="s">
        <v>13</v>
      </c>
    </row>
    <row r="21" spans="1:1">
      <c r="A21" s="4" t="s">
        <v>14</v>
      </c>
    </row>
    <row r="22" spans="1:1">
      <c r="A22" s="4" t="s">
        <v>15</v>
      </c>
    </row>
    <row r="23" spans="1:1">
      <c r="A23" s="4" t="s">
        <v>16</v>
      </c>
    </row>
    <row r="24" spans="1:1">
      <c r="A24" s="4" t="s">
        <v>17</v>
      </c>
    </row>
    <row r="26" spans="1:1">
      <c r="A26" s="3" t="s">
        <v>18</v>
      </c>
    </row>
    <row r="27" spans="1:1">
      <c r="A27" s="5" t="s">
        <v>19</v>
      </c>
    </row>
    <row r="28" spans="1:1">
      <c r="A28" s="2" t="s">
        <v>20</v>
      </c>
    </row>
    <row r="29" spans="1:1">
      <c r="A29" s="6" t="s">
        <v>21</v>
      </c>
    </row>
  </sheetData>
  <hyperlinks>
    <hyperlink ref="A17" location="'Cover'!A1" display="Cover"/>
    <hyperlink ref="A18" location="'Assumptions'!A1" display="Assumptions"/>
    <hyperlink ref="A19" location="'Fund Activity'!A1" display="Fund Activity"/>
    <hyperlink ref="A20" location="'Fund Balance Sheet'!A1" display="Fund Balance Sheet"/>
    <hyperlink ref="A21" location="'Budget vs Actual'!A1" display="Budget vs Actual"/>
    <hyperlink ref="A22" location="'Forecast'!A1" display="Forecast"/>
    <hyperlink ref="A23" location="'Options'!A1" display="Options"/>
    <hyperlink ref="A24" location="'Checks'!A1" display="Check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7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11</v>
      </c>
    </row>
    <row r="3" spans="1:4">
      <c r="A3" s="7" t="s">
        <v>22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9" t="s">
        <v>26</v>
      </c>
      <c r="B6" s="10">
        <v>38400</v>
      </c>
      <c r="C6" s="10">
        <v>40100</v>
      </c>
      <c r="D6" s="10">
        <v>41900</v>
      </c>
    </row>
    <row r="7" spans="1:4">
      <c r="A7" s="9" t="s">
        <v>27</v>
      </c>
      <c r="B7" s="10">
        <v>22600</v>
      </c>
      <c r="C7" s="10">
        <v>23100</v>
      </c>
      <c r="D7" s="10">
        <v>22700</v>
      </c>
    </row>
    <row r="8" spans="1:4">
      <c r="A8" s="9" t="s">
        <v>28</v>
      </c>
      <c r="B8" s="10">
        <v>6100</v>
      </c>
      <c r="C8" s="10">
        <v>6300</v>
      </c>
      <c r="D8" s="10">
        <v>6450</v>
      </c>
    </row>
    <row r="9" spans="1:4">
      <c r="A9" s="9" t="s">
        <v>29</v>
      </c>
      <c r="B9" s="10">
        <v>4200</v>
      </c>
      <c r="C9" s="10">
        <v>4650</v>
      </c>
      <c r="D9" s="10">
        <v>4900</v>
      </c>
    </row>
    <row r="10" spans="1:4">
      <c r="A10" s="9" t="s">
        <v>30</v>
      </c>
      <c r="B10" s="10">
        <v>3300</v>
      </c>
      <c r="C10" s="10">
        <v>3400</v>
      </c>
      <c r="D10" s="10">
        <v>3450</v>
      </c>
    </row>
    <row r="11" spans="1:4">
      <c r="A11" s="9" t="s">
        <v>31</v>
      </c>
      <c r="B11" s="10">
        <v>2900</v>
      </c>
      <c r="C11" s="10">
        <v>3050</v>
      </c>
      <c r="D11" s="10">
        <v>2800</v>
      </c>
    </row>
    <row r="12" spans="1:4">
      <c r="A12" s="9" t="s">
        <v>32</v>
      </c>
      <c r="B12" s="10">
        <v>5600</v>
      </c>
      <c r="C12" s="10">
        <v>5900</v>
      </c>
      <c r="D12" s="10">
        <v>6150</v>
      </c>
    </row>
    <row r="13" spans="1:4">
      <c r="A13" s="9" t="s">
        <v>33</v>
      </c>
      <c r="B13" s="10">
        <v>900</v>
      </c>
      <c r="C13" s="10">
        <v>950</v>
      </c>
      <c r="D13" s="10">
        <v>920</v>
      </c>
    </row>
    <row r="14" spans="1:4">
      <c r="A14" s="9" t="s">
        <v>34</v>
      </c>
      <c r="B14" s="10">
        <v>450</v>
      </c>
      <c r="C14" s="10">
        <v>1650</v>
      </c>
      <c r="D14" s="10">
        <v>2100</v>
      </c>
    </row>
    <row r="15" spans="1:4">
      <c r="A15" s="9" t="s">
        <v>35</v>
      </c>
      <c r="B15" s="10">
        <v>2200</v>
      </c>
      <c r="C15" s="10">
        <v>2100</v>
      </c>
      <c r="D15" s="10">
        <v>2050</v>
      </c>
    </row>
    <row r="16" spans="1:4">
      <c r="A16" s="9" t="s">
        <v>36</v>
      </c>
      <c r="B16" s="10">
        <v>700</v>
      </c>
      <c r="C16" s="10">
        <v>650</v>
      </c>
      <c r="D16" s="10">
        <v>700</v>
      </c>
    </row>
    <row r="17" spans="1:4">
      <c r="A17" s="9" t="s">
        <v>37</v>
      </c>
      <c r="B17" s="10">
        <v>9600</v>
      </c>
      <c r="C17" s="10">
        <v>10100</v>
      </c>
      <c r="D17" s="10">
        <v>10500</v>
      </c>
    </row>
    <row r="18" spans="1:4">
      <c r="A18" s="9" t="s">
        <v>38</v>
      </c>
      <c r="B18" s="10">
        <v>31500</v>
      </c>
      <c r="C18" s="10">
        <v>33400</v>
      </c>
      <c r="D18" s="10">
        <v>35600</v>
      </c>
    </row>
    <row r="19" spans="1:4">
      <c r="A19" s="9" t="s">
        <v>39</v>
      </c>
      <c r="B19" s="10">
        <v>22100</v>
      </c>
      <c r="C19" s="10">
        <v>23500</v>
      </c>
      <c r="D19" s="10">
        <v>24900</v>
      </c>
    </row>
    <row r="20" spans="1:4">
      <c r="A20" s="9" t="s">
        <v>40</v>
      </c>
      <c r="B20" s="10">
        <v>9800</v>
      </c>
      <c r="C20" s="10">
        <v>10200</v>
      </c>
      <c r="D20" s="10">
        <v>10700</v>
      </c>
    </row>
    <row r="21" spans="1:4">
      <c r="A21" s="9" t="s">
        <v>41</v>
      </c>
      <c r="B21" s="10">
        <v>6900</v>
      </c>
      <c r="C21" s="10">
        <v>7200</v>
      </c>
      <c r="D21" s="10">
        <v>7600</v>
      </c>
    </row>
    <row r="22" spans="1:4">
      <c r="A22" s="9" t="s">
        <v>42</v>
      </c>
      <c r="B22" s="10">
        <v>4300</v>
      </c>
      <c r="C22" s="10">
        <v>4500</v>
      </c>
      <c r="D22" s="10">
        <v>4700</v>
      </c>
    </row>
    <row r="23" spans="1:4">
      <c r="A23" s="9" t="s">
        <v>43</v>
      </c>
      <c r="B23" s="10">
        <v>3200</v>
      </c>
      <c r="C23" s="10">
        <v>3500</v>
      </c>
      <c r="D23" s="10">
        <v>3900</v>
      </c>
    </row>
    <row r="24" spans="1:4">
      <c r="A24" s="9" t="s">
        <v>44</v>
      </c>
      <c r="B24" s="10">
        <v>1100</v>
      </c>
      <c r="C24" s="10">
        <v>1100</v>
      </c>
      <c r="D24" s="10">
        <v>1150</v>
      </c>
    </row>
    <row r="25" spans="1:4">
      <c r="A25" s="9" t="s">
        <v>45</v>
      </c>
      <c r="B25" s="10">
        <v>-2500</v>
      </c>
      <c r="C25" s="10">
        <v>-3000</v>
      </c>
      <c r="D25" s="10">
        <v>-2800</v>
      </c>
    </row>
    <row r="26" spans="1:4">
      <c r="A26" s="9" t="s">
        <v>46</v>
      </c>
      <c r="B26" s="10">
        <v>26800</v>
      </c>
    </row>
    <row r="27" spans="1:4">
      <c r="A27" s="9" t="s">
        <v>47</v>
      </c>
      <c r="B27" s="11">
        <v>0.09</v>
      </c>
    </row>
    <row r="28" spans="1:4">
      <c r="A28" s="9" t="s">
        <v>48</v>
      </c>
      <c r="B28" s="10">
        <v>400</v>
      </c>
      <c r="C28" s="10">
        <v>450</v>
      </c>
      <c r="D28" s="10">
        <v>500</v>
      </c>
    </row>
    <row r="29" spans="1:4">
      <c r="A29" s="9" t="s">
        <v>49</v>
      </c>
      <c r="B29" s="10">
        <v>300</v>
      </c>
      <c r="C29" s="10">
        <v>320</v>
      </c>
      <c r="D29" s="10">
        <v>350</v>
      </c>
    </row>
    <row r="30" spans="1:4">
      <c r="A30" s="9" t="s">
        <v>50</v>
      </c>
      <c r="B30" s="11">
        <v>0.05</v>
      </c>
    </row>
    <row r="31" spans="1:4">
      <c r="A31" s="9" t="s">
        <v>51</v>
      </c>
      <c r="B31" s="11">
        <v>0.03</v>
      </c>
    </row>
    <row r="32" spans="1:4">
      <c r="A32" s="9" t="s">
        <v>52</v>
      </c>
      <c r="B32" s="10">
        <v>600</v>
      </c>
      <c r="C32" s="10">
        <v>650</v>
      </c>
      <c r="D32" s="10">
        <v>700</v>
      </c>
    </row>
    <row r="33" spans="1:4">
      <c r="A33" s="9" t="s">
        <v>53</v>
      </c>
      <c r="B33" s="10">
        <v>300</v>
      </c>
      <c r="C33" s="10">
        <v>300</v>
      </c>
      <c r="D33" s="10">
        <v>300</v>
      </c>
    </row>
    <row r="34" spans="1:4">
      <c r="A34" s="9" t="s">
        <v>54</v>
      </c>
      <c r="B34" s="10">
        <v>800</v>
      </c>
      <c r="C34" s="10">
        <v>850</v>
      </c>
      <c r="D34" s="10">
        <v>900</v>
      </c>
    </row>
    <row r="35" spans="1:4">
      <c r="A35" s="9" t="s">
        <v>55</v>
      </c>
      <c r="B35" s="10">
        <v>14000</v>
      </c>
      <c r="C35" s="10">
        <v>13500</v>
      </c>
      <c r="D35" s="10">
        <v>12000</v>
      </c>
    </row>
    <row r="36" spans="1:4">
      <c r="A36" s="9" t="s">
        <v>56</v>
      </c>
      <c r="B36" s="10">
        <v>2500</v>
      </c>
      <c r="C36" s="10">
        <v>2000</v>
      </c>
      <c r="D36" s="10">
        <v>1500</v>
      </c>
    </row>
    <row r="37" spans="1:4">
      <c r="A37" s="9" t="s">
        <v>57</v>
      </c>
      <c r="B37" s="11">
        <v>0.17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3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58</v>
      </c>
    </row>
    <row r="3" spans="1:4">
      <c r="A3" s="7" t="s">
        <v>59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12" t="s">
        <v>60</v>
      </c>
      <c r="B6" s="9"/>
      <c r="C6" s="9"/>
      <c r="D6" s="9"/>
    </row>
    <row r="7" spans="1:4">
      <c r="A7" s="13" t="s">
        <v>26</v>
      </c>
      <c r="B7" s="14">
        <f>'Assumptions'!B6</f>
        <v>38400.0</v>
      </c>
      <c r="C7" s="14">
        <f>'Assumptions'!C6</f>
        <v>40100.0</v>
      </c>
      <c r="D7" s="14">
        <f>'Assumptions'!D6</f>
        <v>41900.0</v>
      </c>
    </row>
    <row r="8" spans="1:4">
      <c r="A8" s="13" t="s">
        <v>27</v>
      </c>
      <c r="B8" s="14">
        <f>'Assumptions'!B7</f>
        <v>22600.0</v>
      </c>
      <c r="C8" s="14">
        <f>'Assumptions'!C7</f>
        <v>23100.0</v>
      </c>
      <c r="D8" s="14">
        <f>'Assumptions'!D7</f>
        <v>22700.0</v>
      </c>
    </row>
    <row r="9" spans="1:4">
      <c r="A9" s="13" t="s">
        <v>28</v>
      </c>
      <c r="B9" s="14">
        <f>'Assumptions'!B8</f>
        <v>6100.0</v>
      </c>
      <c r="C9" s="14">
        <f>'Assumptions'!C8</f>
        <v>6300.0</v>
      </c>
      <c r="D9" s="14">
        <f>'Assumptions'!D8</f>
        <v>6450.0</v>
      </c>
    </row>
    <row r="10" spans="1:4">
      <c r="A10" s="13" t="s">
        <v>29</v>
      </c>
      <c r="B10" s="14">
        <f>'Assumptions'!B9</f>
        <v>4200.0</v>
      </c>
      <c r="C10" s="14">
        <f>'Assumptions'!C9</f>
        <v>4650.0</v>
      </c>
      <c r="D10" s="14">
        <f>'Assumptions'!D9</f>
        <v>4900.0</v>
      </c>
    </row>
    <row r="11" spans="1:4">
      <c r="A11" s="13" t="s">
        <v>30</v>
      </c>
      <c r="B11" s="14">
        <f>'Assumptions'!B10</f>
        <v>3300.0</v>
      </c>
      <c r="C11" s="14">
        <f>'Assumptions'!C10</f>
        <v>3400.0</v>
      </c>
      <c r="D11" s="14">
        <f>'Assumptions'!D10</f>
        <v>3450.0</v>
      </c>
    </row>
    <row r="12" spans="1:4">
      <c r="A12" s="13" t="s">
        <v>31</v>
      </c>
      <c r="B12" s="14">
        <f>'Assumptions'!B11</f>
        <v>2900.0</v>
      </c>
      <c r="C12" s="14">
        <f>'Assumptions'!C11</f>
        <v>3050.0</v>
      </c>
      <c r="D12" s="14">
        <f>'Assumptions'!D11</f>
        <v>2800.0</v>
      </c>
    </row>
    <row r="13" spans="1:4">
      <c r="A13" s="13" t="s">
        <v>32</v>
      </c>
      <c r="B13" s="14">
        <f>'Assumptions'!B12</f>
        <v>5600.0</v>
      </c>
      <c r="C13" s="14">
        <f>'Assumptions'!C12</f>
        <v>5900.0</v>
      </c>
      <c r="D13" s="14">
        <f>'Assumptions'!D12</f>
        <v>6150.0</v>
      </c>
    </row>
    <row r="14" spans="1:4">
      <c r="A14" s="13" t="s">
        <v>33</v>
      </c>
      <c r="B14" s="14">
        <f>'Assumptions'!B13</f>
        <v>900.0</v>
      </c>
      <c r="C14" s="14">
        <f>'Assumptions'!C13</f>
        <v>950.0</v>
      </c>
      <c r="D14" s="14">
        <f>'Assumptions'!D13</f>
        <v>920.0</v>
      </c>
    </row>
    <row r="15" spans="1:4">
      <c r="A15" s="13" t="s">
        <v>34</v>
      </c>
      <c r="B15" s="14">
        <f>'Assumptions'!B14</f>
        <v>450.0</v>
      </c>
      <c r="C15" s="14">
        <f>'Assumptions'!C14</f>
        <v>1650.0</v>
      </c>
      <c r="D15" s="14">
        <f>'Assumptions'!D14</f>
        <v>2100.0</v>
      </c>
    </row>
    <row r="16" spans="1:4">
      <c r="A16" s="13" t="s">
        <v>35</v>
      </c>
      <c r="B16" s="14">
        <f>'Assumptions'!B15</f>
        <v>2200.0</v>
      </c>
      <c r="C16" s="14">
        <f>'Assumptions'!C15</f>
        <v>2100.0</v>
      </c>
      <c r="D16" s="14">
        <f>'Assumptions'!D15</f>
        <v>2050.0</v>
      </c>
    </row>
    <row r="17" spans="1:4">
      <c r="A17" s="13" t="s">
        <v>36</v>
      </c>
      <c r="B17" s="14">
        <f>'Assumptions'!B16</f>
        <v>700.0</v>
      </c>
      <c r="C17" s="14">
        <f>'Assumptions'!C16</f>
        <v>650.0</v>
      </c>
      <c r="D17" s="14">
        <f>'Assumptions'!D16</f>
        <v>700.0</v>
      </c>
    </row>
    <row r="18" spans="1:4">
      <c r="A18" s="12" t="s">
        <v>61</v>
      </c>
      <c r="B18" s="15">
        <f>(B7+B8+B9+B10+B11+B12+B13+B14+B15+B16+B17)</f>
        <v>87350.0</v>
      </c>
      <c r="C18" s="15">
        <f>(C7+C8+C9+C10+C11+C12+C13+C14+C15+C16+C17)</f>
        <v>91850.0</v>
      </c>
      <c r="D18" s="15">
        <f>(D7+D8+D9+D10+D11+D12+D13+D14+D15+D16+D17)</f>
        <v>94120.0</v>
      </c>
    </row>
    <row r="19" spans="1:4">
      <c r="A19" s="12" t="s">
        <v>62</v>
      </c>
      <c r="B19" s="9"/>
      <c r="C19" s="9"/>
      <c r="D19" s="9"/>
    </row>
    <row r="20" spans="1:4">
      <c r="A20" s="13" t="s">
        <v>37</v>
      </c>
      <c r="B20" s="14">
        <f>'Assumptions'!B17</f>
        <v>9600.0</v>
      </c>
      <c r="C20" s="14">
        <f>'Assumptions'!C17</f>
        <v>10100.0</v>
      </c>
      <c r="D20" s="14">
        <f>'Assumptions'!D17</f>
        <v>10500.0</v>
      </c>
    </row>
    <row r="21" spans="1:4">
      <c r="A21" s="13" t="s">
        <v>38</v>
      </c>
      <c r="B21" s="14">
        <f>'Assumptions'!B18</f>
        <v>31500.0</v>
      </c>
      <c r="C21" s="14">
        <f>'Assumptions'!C18</f>
        <v>33400.0</v>
      </c>
      <c r="D21" s="14">
        <f>'Assumptions'!D18</f>
        <v>35600.0</v>
      </c>
    </row>
    <row r="22" spans="1:4">
      <c r="A22" s="13" t="s">
        <v>39</v>
      </c>
      <c r="B22" s="14">
        <f>'Assumptions'!B19</f>
        <v>22100.0</v>
      </c>
      <c r="C22" s="14">
        <f>'Assumptions'!C19</f>
        <v>23500.0</v>
      </c>
      <c r="D22" s="14">
        <f>'Assumptions'!D19</f>
        <v>24900.0</v>
      </c>
    </row>
    <row r="23" spans="1:4">
      <c r="A23" s="13" t="s">
        <v>40</v>
      </c>
      <c r="B23" s="14">
        <f>'Assumptions'!B20</f>
        <v>9800.0</v>
      </c>
      <c r="C23" s="14">
        <f>'Assumptions'!C20</f>
        <v>10200.0</v>
      </c>
      <c r="D23" s="14">
        <f>'Assumptions'!D20</f>
        <v>10700.0</v>
      </c>
    </row>
    <row r="24" spans="1:4">
      <c r="A24" s="13" t="s">
        <v>41</v>
      </c>
      <c r="B24" s="14">
        <f>'Assumptions'!B21</f>
        <v>6900.0</v>
      </c>
      <c r="C24" s="14">
        <f>'Assumptions'!C21</f>
        <v>7200.0</v>
      </c>
      <c r="D24" s="14">
        <f>'Assumptions'!D21</f>
        <v>7600.0</v>
      </c>
    </row>
    <row r="25" spans="1:4">
      <c r="A25" s="13" t="s">
        <v>42</v>
      </c>
      <c r="B25" s="14">
        <f>'Assumptions'!B22</f>
        <v>4300.0</v>
      </c>
      <c r="C25" s="14">
        <f>'Assumptions'!C22</f>
        <v>4500.0</v>
      </c>
      <c r="D25" s="14">
        <f>'Assumptions'!D22</f>
        <v>4700.0</v>
      </c>
    </row>
    <row r="26" spans="1:4">
      <c r="A26" s="13" t="s">
        <v>43</v>
      </c>
      <c r="B26" s="14">
        <f>'Assumptions'!B23</f>
        <v>3200.0</v>
      </c>
      <c r="C26" s="14">
        <f>'Assumptions'!C23</f>
        <v>3500.0</v>
      </c>
      <c r="D26" s="14">
        <f>'Assumptions'!D23</f>
        <v>3900.0</v>
      </c>
    </row>
    <row r="27" spans="1:4">
      <c r="A27" s="12" t="s">
        <v>63</v>
      </c>
      <c r="B27" s="15">
        <f>(B20+B21+B22+B23+B24+B25+B26)</f>
        <v>87400.0</v>
      </c>
      <c r="C27" s="15">
        <f>(C20+C21+C22+C23+C24+C25+C26)</f>
        <v>92400.0</v>
      </c>
      <c r="D27" s="15">
        <f>(D20+D21+D22+D23+D24+D25+D26)</f>
        <v>97900.0</v>
      </c>
    </row>
    <row r="28" spans="1:4">
      <c r="A28" s="12" t="s">
        <v>64</v>
      </c>
      <c r="B28" s="15">
        <f>(B18-B27)</f>
        <v>-50.0</v>
      </c>
      <c r="C28" s="15">
        <f>(C18-C27)</f>
        <v>-550.0</v>
      </c>
      <c r="D28" s="15">
        <f>(D18-D27)</f>
        <v>-3780.0</v>
      </c>
    </row>
    <row r="29" spans="1:4">
      <c r="A29" s="12" t="s">
        <v>65</v>
      </c>
      <c r="B29" s="9"/>
      <c r="C29" s="9"/>
      <c r="D29" s="9"/>
    </row>
    <row r="30" spans="1:4">
      <c r="A30" s="13" t="s">
        <v>44</v>
      </c>
      <c r="B30" s="14">
        <f>'Assumptions'!B24</f>
        <v>1100.0</v>
      </c>
      <c r="C30" s="14">
        <f>'Assumptions'!C24</f>
        <v>1100.0</v>
      </c>
      <c r="D30" s="14">
        <f>'Assumptions'!D24</f>
        <v>1150.0</v>
      </c>
    </row>
    <row r="31" spans="1:4">
      <c r="A31" s="13" t="s">
        <v>45</v>
      </c>
      <c r="B31" s="14">
        <f>'Assumptions'!B25</f>
        <v>-2500.0</v>
      </c>
      <c r="C31" s="14">
        <f>'Assumptions'!C25</f>
        <v>-3000.0</v>
      </c>
      <c r="D31" s="14">
        <f>'Assumptions'!D25</f>
        <v>-2800.0</v>
      </c>
    </row>
    <row r="32" spans="1:4">
      <c r="A32" s="12" t="s">
        <v>66</v>
      </c>
      <c r="B32" s="15">
        <f>(B30+B31)</f>
        <v>-1400.0</v>
      </c>
      <c r="C32" s="15">
        <f>(C30+C31)</f>
        <v>-1900.0</v>
      </c>
      <c r="D32" s="15">
        <f>(D30+D31)</f>
        <v>-1650.0</v>
      </c>
    </row>
    <row r="33" spans="1:4">
      <c r="A33" s="12" t="s">
        <v>67</v>
      </c>
      <c r="B33" s="15">
        <f>(B28+B32)</f>
        <v>-1450.0</v>
      </c>
      <c r="C33" s="15">
        <f>(C28+C32)</f>
        <v>-2450.0</v>
      </c>
      <c r="D33" s="15">
        <f>(D28+D32)</f>
        <v>-5430.0</v>
      </c>
    </row>
    <row r="34" spans="1:4">
      <c r="A34" s="9" t="s">
        <v>68</v>
      </c>
      <c r="B34" s="16">
        <f>'Assumptions'!B26</f>
        <v>26800.0</v>
      </c>
      <c r="C34" s="17">
        <f>B35</f>
        <v>25350.0</v>
      </c>
      <c r="D34" s="17">
        <f>C35</f>
        <v>22900.0</v>
      </c>
    </row>
    <row r="35" spans="1:4">
      <c r="A35" s="18" t="s">
        <v>69</v>
      </c>
      <c r="B35" s="19">
        <f>(B34+B33)</f>
        <v>25350.0</v>
      </c>
      <c r="C35" s="19">
        <f>(C34+C33)</f>
        <v>22900.0</v>
      </c>
      <c r="D35" s="19">
        <f>(D34+D33)</f>
        <v>17470.0</v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29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4" width="13.7109375" customWidth="1"/>
  </cols>
  <sheetData>
    <row r="1" spans="1:4">
      <c r="A1" s="1" t="s">
        <v>0</v>
      </c>
    </row>
    <row r="2" spans="1:4">
      <c r="A2" s="3" t="s">
        <v>70</v>
      </c>
    </row>
    <row r="3" spans="1:4">
      <c r="A3" s="7" t="s">
        <v>71</v>
      </c>
    </row>
    <row r="5" spans="1:4">
      <c r="A5" s="8"/>
      <c r="B5" s="8" t="s">
        <v>23</v>
      </c>
      <c r="C5" s="8" t="s">
        <v>24</v>
      </c>
      <c r="D5" s="8" t="s">
        <v>25</v>
      </c>
    </row>
    <row r="6" spans="1:4">
      <c r="A6" s="12" t="s">
        <v>72</v>
      </c>
      <c r="B6" s="9"/>
      <c r="C6" s="9"/>
      <c r="D6" s="9"/>
    </row>
    <row r="7" spans="1:4">
      <c r="A7" s="13" t="s">
        <v>73</v>
      </c>
      <c r="B7" s="20">
        <f>(((B26-B8)-B9)-B10)</f>
        <v>25480.5</v>
      </c>
      <c r="C7" s="20">
        <f>(((C26-C8)-C9)-C10)</f>
        <v>23055.5</v>
      </c>
      <c r="D7" s="20">
        <f>(((D26-D8)-D9)-D10)</f>
        <v>17881.2</v>
      </c>
    </row>
    <row r="8" spans="1:4">
      <c r="A8" s="13" t="s">
        <v>74</v>
      </c>
      <c r="B8" s="14">
        <f>('Fund Activity'!B18*'Assumptions'!B27)</f>
        <v>7861.5</v>
      </c>
      <c r="C8" s="14">
        <f>('Fund Activity'!C18*'Assumptions'!B27)</f>
        <v>8266.5</v>
      </c>
      <c r="D8" s="14">
        <f>('Fund Activity'!D18*'Assumptions'!B27)</f>
        <v>8470.8</v>
      </c>
    </row>
    <row r="9" spans="1:4">
      <c r="A9" s="13" t="s">
        <v>48</v>
      </c>
      <c r="B9" s="14">
        <f>'Assumptions'!B28</f>
        <v>400.0</v>
      </c>
      <c r="C9" s="14">
        <f>'Assumptions'!C28</f>
        <v>450.0</v>
      </c>
      <c r="D9" s="14">
        <f>'Assumptions'!D28</f>
        <v>500.0</v>
      </c>
    </row>
    <row r="10" spans="1:4">
      <c r="A10" s="13" t="s">
        <v>49</v>
      </c>
      <c r="B10" s="14">
        <f>'Assumptions'!B29</f>
        <v>300.0</v>
      </c>
      <c r="C10" s="14">
        <f>'Assumptions'!C29</f>
        <v>320.0</v>
      </c>
      <c r="D10" s="14">
        <f>'Assumptions'!D29</f>
        <v>350.0</v>
      </c>
    </row>
    <row r="11" spans="1:4">
      <c r="A11" s="18" t="s">
        <v>75</v>
      </c>
      <c r="B11" s="19">
        <f>(B7+B8+B9+B10)</f>
        <v>34042.0</v>
      </c>
      <c r="C11" s="19">
        <f>(C7+C8+C9+C10)</f>
        <v>32092.0</v>
      </c>
      <c r="D11" s="19">
        <f>(D7+D8+D9+D10)</f>
        <v>27202.0</v>
      </c>
    </row>
    <row r="12" spans="1:4">
      <c r="A12" s="12" t="s">
        <v>76</v>
      </c>
      <c r="B12" s="9"/>
      <c r="C12" s="9"/>
      <c r="D12" s="9"/>
    </row>
    <row r="13" spans="1:4">
      <c r="A13" s="13" t="s">
        <v>77</v>
      </c>
      <c r="B13" s="14">
        <f>('Fund Activity'!B27*'Assumptions'!B30)</f>
        <v>4370.0</v>
      </c>
      <c r="C13" s="14">
        <f>('Fund Activity'!C27*'Assumptions'!B30)</f>
        <v>4620.0</v>
      </c>
      <c r="D13" s="14">
        <f>('Fund Activity'!D27*'Assumptions'!B30)</f>
        <v>4895.0</v>
      </c>
    </row>
    <row r="14" spans="1:4">
      <c r="A14" s="13" t="s">
        <v>78</v>
      </c>
      <c r="B14" s="14">
        <f>('Fund Activity'!B27*'Assumptions'!B31)</f>
        <v>2622.0</v>
      </c>
      <c r="C14" s="14">
        <f>('Fund Activity'!C27*'Assumptions'!B31)</f>
        <v>2772.0</v>
      </c>
      <c r="D14" s="14">
        <f>('Fund Activity'!D27*'Assumptions'!B31)</f>
        <v>2937.0</v>
      </c>
    </row>
    <row r="15" spans="1:4">
      <c r="A15" s="13" t="s">
        <v>52</v>
      </c>
      <c r="B15" s="14">
        <f>'Assumptions'!B32</f>
        <v>600.0</v>
      </c>
      <c r="C15" s="14">
        <f>'Assumptions'!C32</f>
        <v>650.0</v>
      </c>
      <c r="D15" s="14">
        <f>'Assumptions'!D32</f>
        <v>700.0</v>
      </c>
    </row>
    <row r="16" spans="1:4">
      <c r="A16" s="13" t="s">
        <v>53</v>
      </c>
      <c r="B16" s="14">
        <f>'Assumptions'!B33</f>
        <v>300.0</v>
      </c>
      <c r="C16" s="14">
        <f>'Assumptions'!C33</f>
        <v>300.0</v>
      </c>
      <c r="D16" s="14">
        <f>'Assumptions'!D33</f>
        <v>300.0</v>
      </c>
    </row>
    <row r="17" spans="1:4">
      <c r="A17" s="12" t="s">
        <v>79</v>
      </c>
      <c r="B17" s="15">
        <f>(B13+B14+B15+B16)</f>
        <v>7892.0</v>
      </c>
      <c r="C17" s="15">
        <f>(C13+C14+C15+C16)</f>
        <v>8342.0</v>
      </c>
      <c r="D17" s="15">
        <f>(D13+D14+D15+D16)</f>
        <v>8832.0</v>
      </c>
    </row>
    <row r="18" spans="1:4">
      <c r="A18" s="12" t="s">
        <v>80</v>
      </c>
      <c r="B18" s="9"/>
      <c r="C18" s="9"/>
      <c r="D18" s="9"/>
    </row>
    <row r="19" spans="1:4">
      <c r="A19" s="13" t="s">
        <v>54</v>
      </c>
      <c r="B19" s="14">
        <f>'Assumptions'!B34</f>
        <v>800.0</v>
      </c>
      <c r="C19" s="14">
        <f>'Assumptions'!C34</f>
        <v>850.0</v>
      </c>
      <c r="D19" s="14">
        <f>'Assumptions'!D34</f>
        <v>900.0</v>
      </c>
    </row>
    <row r="20" spans="1:4">
      <c r="A20" s="12" t="s">
        <v>81</v>
      </c>
      <c r="B20" s="9"/>
      <c r="C20" s="9"/>
      <c r="D20" s="9"/>
    </row>
    <row r="21" spans="1:4">
      <c r="A21" s="13" t="s">
        <v>82</v>
      </c>
      <c r="B21" s="20">
        <f>B10</f>
        <v>300.0</v>
      </c>
      <c r="C21" s="20">
        <f>C10</f>
        <v>320.0</v>
      </c>
      <c r="D21" s="20">
        <f>D10</f>
        <v>350.0</v>
      </c>
    </row>
    <row r="22" spans="1:4">
      <c r="A22" s="13" t="s">
        <v>83</v>
      </c>
      <c r="B22" s="14">
        <f>'Assumptions'!B35</f>
        <v>14000.0</v>
      </c>
      <c r="C22" s="14">
        <f>'Assumptions'!C35</f>
        <v>13500.0</v>
      </c>
      <c r="D22" s="14">
        <f>'Assumptions'!D35</f>
        <v>12000.0</v>
      </c>
    </row>
    <row r="23" spans="1:4">
      <c r="A23" s="13" t="s">
        <v>84</v>
      </c>
      <c r="B23" s="14">
        <f>'Assumptions'!B36</f>
        <v>2500.0</v>
      </c>
      <c r="C23" s="14">
        <f>'Assumptions'!C36</f>
        <v>2000.0</v>
      </c>
      <c r="D23" s="14">
        <f>'Assumptions'!D36</f>
        <v>1500.0</v>
      </c>
    </row>
    <row r="24" spans="1:4">
      <c r="A24" s="13" t="s">
        <v>85</v>
      </c>
      <c r="B24" s="14">
        <f>((('Fund Activity'!B35-B21)-B22)-B23)</f>
        <v>8550.0</v>
      </c>
      <c r="C24" s="14">
        <f>((('Fund Activity'!C35-C21)-C22)-C23)</f>
        <v>7080.0</v>
      </c>
      <c r="D24" s="14">
        <f>((('Fund Activity'!D35-D21)-D22)-D23)</f>
        <v>3620.0</v>
      </c>
    </row>
    <row r="25" spans="1:4">
      <c r="A25" s="12" t="s">
        <v>86</v>
      </c>
      <c r="B25" s="15">
        <f>(B21+B22+B23+B24)</f>
        <v>25350.0</v>
      </c>
      <c r="C25" s="15">
        <f>(C21+C22+C23+C24)</f>
        <v>22900.0</v>
      </c>
      <c r="D25" s="15">
        <f>(D21+D22+D23+D24)</f>
        <v>17470.0</v>
      </c>
    </row>
    <row r="26" spans="1:4">
      <c r="A26" s="18" t="s">
        <v>87</v>
      </c>
      <c r="B26" s="19">
        <f>((B17+B19)+B25)</f>
        <v>34042.0</v>
      </c>
      <c r="C26" s="19">
        <f>((C17+C19)+C25)</f>
        <v>32092.0</v>
      </c>
      <c r="D26" s="19">
        <f>((D17+D19)+D25)</f>
        <v>27202.0</v>
      </c>
    </row>
    <row r="27" spans="1:4">
      <c r="A27" s="13" t="s">
        <v>88</v>
      </c>
      <c r="B27" s="21">
        <f>((B22+B24)/'Fund Activity'!B27)</f>
        <v>0.2580091533180778</v>
      </c>
      <c r="C27" s="21">
        <f>((C22+C24)/'Fund Activity'!C27)</f>
        <v>0.22272727272727272</v>
      </c>
      <c r="D27" s="21">
        <f>((D22+D24)/'Fund Activity'!D27)</f>
        <v>0.15955056179775282</v>
      </c>
    </row>
    <row r="28" spans="1:4">
      <c r="A28" s="13" t="s">
        <v>89</v>
      </c>
      <c r="B28" s="21">
        <f>'Assumptions'!B37</f>
        <v>0.17</v>
      </c>
      <c r="C28" s="21">
        <f>'Assumptions'!B37</f>
        <v>0.17</v>
      </c>
      <c r="D28" s="21">
        <f>'Assumptions'!B37</f>
        <v>0.17</v>
      </c>
    </row>
    <row r="29" spans="1:4">
      <c r="A29" s="13" t="s">
        <v>90</v>
      </c>
      <c r="B29" s="14">
        <f>('Fund Activity'!B27*'Assumptions'!B37)</f>
        <v>14858.000000000002</v>
      </c>
      <c r="C29" s="14">
        <f>('Fund Activity'!C27*'Assumptions'!B37)</f>
        <v>15708.000000000002</v>
      </c>
      <c r="D29" s="14">
        <f>('Fund Activity'!D27*'Assumptions'!B37)</f>
        <v>16643.0</v>
      </c>
    </row>
  </sheetData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6" width="13.7109375" customWidth="1"/>
  </cols>
  <sheetData>
    <row r="1" spans="1:6">
      <c r="A1" s="1" t="s">
        <v>0</v>
      </c>
    </row>
    <row r="2" spans="1:6">
      <c r="A2" s="3" t="s">
        <v>91</v>
      </c>
    </row>
    <row r="3" spans="1:6">
      <c r="A3" s="7" t="s">
        <v>22</v>
      </c>
    </row>
    <row r="5" spans="1:6">
      <c r="A5" s="8"/>
      <c r="B5" s="8" t="s">
        <v>92</v>
      </c>
      <c r="C5" s="8" t="s">
        <v>93</v>
      </c>
      <c r="D5" s="8" t="s">
        <v>94</v>
      </c>
      <c r="E5" s="8" t="s">
        <v>95</v>
      </c>
      <c r="F5" s="8" t="s">
        <v>96</v>
      </c>
    </row>
    <row r="6" spans="1:6">
      <c r="A6" s="9" t="s">
        <v>26</v>
      </c>
      <c r="B6" s="17">
        <f>41500</f>
        <v>41500.0</v>
      </c>
      <c r="C6" s="17">
        <f>41500</f>
        <v>41500.0</v>
      </c>
      <c r="D6" s="16">
        <f>'Fund Activity'!D7</f>
        <v>41900.0</v>
      </c>
      <c r="E6" s="16">
        <f>('Fund Activity'!D7-41500)</f>
        <v>400.0</v>
      </c>
      <c r="F6" s="22">
        <f>(('Fund Activity'!D7-41500)/MAX(1,41500))</f>
        <v>0.00963855421686747</v>
      </c>
    </row>
    <row r="7" spans="1:6">
      <c r="A7" s="9" t="s">
        <v>27</v>
      </c>
      <c r="B7" s="17">
        <f>23900</f>
        <v>23900.0</v>
      </c>
      <c r="C7" s="17">
        <f>23900</f>
        <v>23900.0</v>
      </c>
      <c r="D7" s="16">
        <f>'Fund Activity'!D8</f>
        <v>22700.0</v>
      </c>
      <c r="E7" s="16">
        <f>('Fund Activity'!D8-23900)</f>
        <v>-1200.0</v>
      </c>
      <c r="F7" s="22">
        <f>(('Fund Activity'!D8-23900)/MAX(1,23900))</f>
        <v>-0.0502092050209205</v>
      </c>
    </row>
    <row r="8" spans="1:6">
      <c r="A8" s="9" t="s">
        <v>28</v>
      </c>
      <c r="B8" s="17">
        <f>6400</f>
        <v>6400.0</v>
      </c>
      <c r="C8" s="17">
        <f>6400</f>
        <v>6400.0</v>
      </c>
      <c r="D8" s="16">
        <f>'Fund Activity'!D9</f>
        <v>6450.0</v>
      </c>
      <c r="E8" s="16">
        <f>('Fund Activity'!D9-6400)</f>
        <v>50.0</v>
      </c>
      <c r="F8" s="22">
        <f>(('Fund Activity'!D9-6400)/MAX(1,6400))</f>
        <v>0.0078125</v>
      </c>
    </row>
    <row r="9" spans="1:6">
      <c r="A9" s="9" t="s">
        <v>29</v>
      </c>
      <c r="B9" s="17">
        <f>4800</f>
        <v>4800.0</v>
      </c>
      <c r="C9" s="17">
        <f>4800</f>
        <v>4800.0</v>
      </c>
      <c r="D9" s="16">
        <f>'Fund Activity'!D10</f>
        <v>4900.0</v>
      </c>
      <c r="E9" s="16">
        <f>('Fund Activity'!D10-4800)</f>
        <v>100.0</v>
      </c>
      <c r="F9" s="22">
        <f>(('Fund Activity'!D10-4800)/MAX(1,4800))</f>
        <v>0.020833333333333332</v>
      </c>
    </row>
    <row r="10" spans="1:6">
      <c r="A10" s="9" t="s">
        <v>30</v>
      </c>
      <c r="B10" s="17">
        <f>3450</f>
        <v>3450.0</v>
      </c>
      <c r="C10" s="17">
        <f>3450</f>
        <v>3450.0</v>
      </c>
      <c r="D10" s="16">
        <f>'Fund Activity'!D11</f>
        <v>3450.0</v>
      </c>
      <c r="E10" s="16">
        <f>('Fund Activity'!D11-3450)</f>
        <v>0.0</v>
      </c>
      <c r="F10" s="22">
        <f>(('Fund Activity'!D11-3450)/MAX(1,3450))</f>
        <v>0.0</v>
      </c>
    </row>
    <row r="11" spans="1:6">
      <c r="A11" s="9" t="s">
        <v>31</v>
      </c>
      <c r="B11" s="17">
        <f>3100</f>
        <v>3100.0</v>
      </c>
      <c r="C11" s="17">
        <f>3100</f>
        <v>3100.0</v>
      </c>
      <c r="D11" s="16">
        <f>'Fund Activity'!D12</f>
        <v>2800.0</v>
      </c>
      <c r="E11" s="16">
        <f>('Fund Activity'!D12-3100)</f>
        <v>-300.0</v>
      </c>
      <c r="F11" s="22">
        <f>(('Fund Activity'!D12-3100)/MAX(1,3100))</f>
        <v>-0.0967741935483871</v>
      </c>
    </row>
    <row r="12" spans="1:6">
      <c r="A12" s="9" t="s">
        <v>32</v>
      </c>
      <c r="B12" s="17">
        <f>6000</f>
        <v>6000.0</v>
      </c>
      <c r="C12" s="17">
        <f>6000</f>
        <v>6000.0</v>
      </c>
      <c r="D12" s="16">
        <f>'Fund Activity'!D13</f>
        <v>6150.0</v>
      </c>
      <c r="E12" s="16">
        <f>('Fund Activity'!D13-6000)</f>
        <v>150.0</v>
      </c>
      <c r="F12" s="22">
        <f>(('Fund Activity'!D13-6000)/MAX(1,6000))</f>
        <v>0.025</v>
      </c>
    </row>
    <row r="13" spans="1:6">
      <c r="A13" s="9" t="s">
        <v>33</v>
      </c>
      <c r="B13" s="17">
        <f>950</f>
        <v>950.0</v>
      </c>
      <c r="C13" s="17">
        <f>950</f>
        <v>950.0</v>
      </c>
      <c r="D13" s="16">
        <f>'Fund Activity'!D14</f>
        <v>920.0</v>
      </c>
      <c r="E13" s="16">
        <f>('Fund Activity'!D14-950)</f>
        <v>-30.0</v>
      </c>
      <c r="F13" s="22">
        <f>(('Fund Activity'!D14-950)/MAX(1,950))</f>
        <v>-0.031578947368421054</v>
      </c>
    </row>
    <row r="14" spans="1:6">
      <c r="A14" s="9" t="s">
        <v>34</v>
      </c>
      <c r="B14" s="17">
        <f>1200</f>
        <v>1200.0</v>
      </c>
      <c r="C14" s="17">
        <f>1200</f>
        <v>1200.0</v>
      </c>
      <c r="D14" s="16">
        <f>'Fund Activity'!D15</f>
        <v>2100.0</v>
      </c>
      <c r="E14" s="16">
        <f>('Fund Activity'!D15-1200)</f>
        <v>900.0</v>
      </c>
      <c r="F14" s="22">
        <f>(('Fund Activity'!D15-1200)/MAX(1,1200))</f>
        <v>0.75</v>
      </c>
    </row>
    <row r="15" spans="1:6">
      <c r="A15" s="9" t="s">
        <v>35</v>
      </c>
      <c r="B15" s="17">
        <f>2100</f>
        <v>2100.0</v>
      </c>
      <c r="C15" s="17">
        <f>2100</f>
        <v>2100.0</v>
      </c>
      <c r="D15" s="16">
        <f>'Fund Activity'!D16</f>
        <v>2050.0</v>
      </c>
      <c r="E15" s="16">
        <f>('Fund Activity'!D16-2100)</f>
        <v>-50.0</v>
      </c>
      <c r="F15" s="22">
        <f>(('Fund Activity'!D16-2100)/MAX(1,2100))</f>
        <v>-0.023809523809523808</v>
      </c>
    </row>
    <row r="16" spans="1:6">
      <c r="A16" s="9" t="s">
        <v>36</v>
      </c>
      <c r="B16" s="17">
        <f>650</f>
        <v>650.0</v>
      </c>
      <c r="C16" s="17">
        <f>650</f>
        <v>650.0</v>
      </c>
      <c r="D16" s="16">
        <f>'Fund Activity'!D17</f>
        <v>700.0</v>
      </c>
      <c r="E16" s="16">
        <f>('Fund Activity'!D17-650)</f>
        <v>50.0</v>
      </c>
      <c r="F16" s="22">
        <f>(('Fund Activity'!D17-650)/MAX(1,650))</f>
        <v>0.07692307692307693</v>
      </c>
    </row>
    <row r="17" spans="1:6">
      <c r="A17" s="12" t="s">
        <v>61</v>
      </c>
      <c r="B17" s="15">
        <f>(B6+B7+B8+B9+B10+B11+B12+B13+B14+B15+B16)</f>
        <v>94050.0</v>
      </c>
      <c r="C17" s="15">
        <f>(C6+C7+C8+C9+C10+C11+C12+C13+C14+C15+C16)</f>
        <v>94050.0</v>
      </c>
      <c r="D17" s="15">
        <f>(D6+D7+D8+D9+D10+D11+D12+D13+D14+D15+D16)</f>
        <v>94120.0</v>
      </c>
      <c r="E17" s="15">
        <f>(D17-C17)</f>
        <v>70.0</v>
      </c>
      <c r="F17" s="23">
        <f>(E17/C17)</f>
        <v>0.0007442849548112706</v>
      </c>
    </row>
    <row r="18" spans="1:6">
      <c r="A18" s="9" t="s">
        <v>37</v>
      </c>
      <c r="B18" s="17">
        <f>10800</f>
        <v>10800.0</v>
      </c>
      <c r="C18" s="17">
        <f>10800</f>
        <v>10800.0</v>
      </c>
      <c r="D18" s="16">
        <f>'Fund Activity'!D20</f>
        <v>10500.0</v>
      </c>
      <c r="E18" s="16">
        <f>(10800-'Fund Activity'!D20)</f>
        <v>300.0</v>
      </c>
      <c r="F18" s="22">
        <f>((10800-'Fund Activity'!D20)/MAX(1,10800))</f>
        <v>0.027777777777777776</v>
      </c>
    </row>
    <row r="19" spans="1:6">
      <c r="A19" s="9" t="s">
        <v>38</v>
      </c>
      <c r="B19" s="17">
        <f>33500</f>
        <v>33500.0</v>
      </c>
      <c r="C19" s="17">
        <f>34200</f>
        <v>34200.0</v>
      </c>
      <c r="D19" s="16">
        <f>'Fund Activity'!D21</f>
        <v>35600.0</v>
      </c>
      <c r="E19" s="16">
        <f>(34200-'Fund Activity'!D21)</f>
        <v>-1400.0</v>
      </c>
      <c r="F19" s="22">
        <f>((34200-'Fund Activity'!D21)/MAX(1,34200))</f>
        <v>-0.04093567251461988</v>
      </c>
    </row>
    <row r="20" spans="1:6">
      <c r="A20" s="9" t="s">
        <v>39</v>
      </c>
      <c r="B20" s="17">
        <f>24600</f>
        <v>24600.0</v>
      </c>
      <c r="C20" s="17">
        <f>24600</f>
        <v>24600.0</v>
      </c>
      <c r="D20" s="16">
        <f>'Fund Activity'!D22</f>
        <v>24900.0</v>
      </c>
      <c r="E20" s="16">
        <f>(24600-'Fund Activity'!D22)</f>
        <v>-300.0</v>
      </c>
      <c r="F20" s="22">
        <f>((24600-'Fund Activity'!D22)/MAX(1,24600))</f>
        <v>-0.012195121951219513</v>
      </c>
    </row>
    <row r="21" spans="1:6">
      <c r="A21" s="9" t="s">
        <v>40</v>
      </c>
      <c r="B21" s="17">
        <f>11400</f>
        <v>11400.0</v>
      </c>
      <c r="C21" s="17">
        <f>11400</f>
        <v>11400.0</v>
      </c>
      <c r="D21" s="16">
        <f>'Fund Activity'!D23</f>
        <v>10700.0</v>
      </c>
      <c r="E21" s="16">
        <f>(11400-'Fund Activity'!D23)</f>
        <v>700.0</v>
      </c>
      <c r="F21" s="22">
        <f>((11400-'Fund Activity'!D23)/MAX(1,11400))</f>
        <v>0.06140350877192982</v>
      </c>
    </row>
    <row r="22" spans="1:6">
      <c r="A22" s="9" t="s">
        <v>41</v>
      </c>
      <c r="B22" s="17">
        <f>7700</f>
        <v>7700.0</v>
      </c>
      <c r="C22" s="17">
        <f>7700</f>
        <v>7700.0</v>
      </c>
      <c r="D22" s="16">
        <f>'Fund Activity'!D24</f>
        <v>7600.0</v>
      </c>
      <c r="E22" s="16">
        <f>(7700-'Fund Activity'!D24)</f>
        <v>100.0</v>
      </c>
      <c r="F22" s="22">
        <f>((7700-'Fund Activity'!D24)/MAX(1,7700))</f>
        <v>0.012987012987012988</v>
      </c>
    </row>
    <row r="23" spans="1:6">
      <c r="A23" s="9" t="s">
        <v>42</v>
      </c>
      <c r="B23" s="17">
        <f>5000</f>
        <v>5000.0</v>
      </c>
      <c r="C23" s="17">
        <f>5000</f>
        <v>5000.0</v>
      </c>
      <c r="D23" s="16">
        <f>'Fund Activity'!D25</f>
        <v>4700.0</v>
      </c>
      <c r="E23" s="16">
        <f>(5000-'Fund Activity'!D25)</f>
        <v>300.0</v>
      </c>
      <c r="F23" s="22">
        <f>((5000-'Fund Activity'!D25)/MAX(1,5000))</f>
        <v>0.06</v>
      </c>
    </row>
    <row r="24" spans="1:6">
      <c r="A24" s="9" t="s">
        <v>43</v>
      </c>
      <c r="B24" s="17">
        <f>3900</f>
        <v>3900.0</v>
      </c>
      <c r="C24" s="17">
        <f>3900</f>
        <v>3900.0</v>
      </c>
      <c r="D24" s="16">
        <f>'Fund Activity'!D26</f>
        <v>3900.0</v>
      </c>
      <c r="E24" s="16">
        <f>(3900-'Fund Activity'!D26)</f>
        <v>0.0</v>
      </c>
      <c r="F24" s="22">
        <f>((3900-'Fund Activity'!D26)/MAX(1,3900))</f>
        <v>0.0</v>
      </c>
    </row>
    <row r="25" spans="1:6">
      <c r="A25" s="12" t="s">
        <v>63</v>
      </c>
      <c r="B25" s="15">
        <f>(B18+B19+B20+B21+B22+B23+B24)</f>
        <v>96900.0</v>
      </c>
      <c r="C25" s="15">
        <f>(C18+C19+C20+C21+C22+C23+C24)</f>
        <v>97600.0</v>
      </c>
      <c r="D25" s="15">
        <f>(D18+D19+D20+D21+D22+D23+D24)</f>
        <v>97900.0</v>
      </c>
      <c r="E25" s="15">
        <f>(C25-D25)</f>
        <v>-300.0</v>
      </c>
      <c r="F25" s="23">
        <f>(E25/C25)</f>
        <v>-0.0030737704918032786</v>
      </c>
    </row>
    <row r="26" spans="1:6">
      <c r="A26" s="9" t="s">
        <v>44</v>
      </c>
      <c r="B26" s="17">
        <f>1150</f>
        <v>1150.0</v>
      </c>
      <c r="C26" s="17">
        <f>1150</f>
        <v>1150.0</v>
      </c>
      <c r="D26" s="16">
        <f>'Fund Activity'!D30</f>
        <v>1150.0</v>
      </c>
      <c r="E26" s="16">
        <f>('Fund Activity'!D30-1150)</f>
        <v>0.0</v>
      </c>
      <c r="F26" s="22">
        <f>(('Fund Activity'!D30-1150)/MAX(1,1150))</f>
        <v>0.0</v>
      </c>
    </row>
    <row r="27" spans="1:6">
      <c r="A27" s="9" t="s">
        <v>45</v>
      </c>
      <c r="B27" s="17">
        <f>-2800</f>
        <v>-2800.0</v>
      </c>
      <c r="C27" s="17">
        <f>-2800</f>
        <v>-2800.0</v>
      </c>
      <c r="D27" s="16">
        <f>'Fund Activity'!D31</f>
        <v>-2800.0</v>
      </c>
      <c r="E27" s="16">
        <f>('Fund Activity'!D31--2800)</f>
        <v>0.0</v>
      </c>
      <c r="F27" s="22">
        <f>(('Fund Activity'!D31--2800)/MAX(1,(--2800)))</f>
        <v>0.0</v>
      </c>
    </row>
    <row r="28" spans="1:6">
      <c r="A28" s="12" t="s">
        <v>67</v>
      </c>
      <c r="B28" s="15">
        <f>(((B17-B25)+B26)+B27)</f>
        <v>-4500.0</v>
      </c>
      <c r="C28" s="15">
        <f>(((C17-C25)+C26)+C27)</f>
        <v>-5200.0</v>
      </c>
      <c r="D28" s="15">
        <f>(((D17-D25)+D26)+D27)</f>
        <v>-5430.0</v>
      </c>
      <c r="E28" s="15">
        <f>(D28-C28)</f>
        <v>-230.0</v>
      </c>
      <c r="F28" s="23">
        <f>(E28/(-C28))</f>
        <v>-0.04423076923076923</v>
      </c>
    </row>
  </sheetData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1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62.7109375" customWidth="1"/>
    <col min="2" max="6" width="13.7109375" customWidth="1"/>
  </cols>
  <sheetData>
    <row r="1" spans="1:6">
      <c r="A1" s="1" t="s">
        <v>0</v>
      </c>
    </row>
    <row r="2" spans="1:6">
      <c r="A2" s="3" t="s">
        <v>97</v>
      </c>
    </row>
    <row r="3" spans="1:6">
      <c r="A3" s="7" t="s">
        <v>22</v>
      </c>
    </row>
    <row r="5" spans="1:6">
      <c r="A5" s="8"/>
      <c r="B5" s="8" t="s">
        <v>98</v>
      </c>
      <c r="C5" s="8" t="s">
        <v>99</v>
      </c>
      <c r="D5" s="8" t="s">
        <v>100</v>
      </c>
      <c r="E5" s="8" t="s">
        <v>101</v>
      </c>
      <c r="F5" s="8" t="s">
        <v>102</v>
      </c>
    </row>
    <row r="6" spans="1:6">
      <c r="A6" s="9" t="s">
        <v>26</v>
      </c>
      <c r="B6" s="16">
        <f>('Fund Activity'!D7*(1+0.04))</f>
        <v>43576.0</v>
      </c>
      <c r="C6" s="17">
        <f>(B6*(1+0.04))</f>
        <v>45319.04</v>
      </c>
      <c r="D6" s="17">
        <f>(C6*(1+0.04))</f>
        <v>47131.801600000006</v>
      </c>
      <c r="E6" s="17">
        <f>(D6*(1+0.04))</f>
        <v>49017.07366400001</v>
      </c>
      <c r="F6" s="17">
        <f>(E6*(1+0.04))</f>
        <v>50977.75661056001</v>
      </c>
    </row>
    <row r="7" spans="1:6">
      <c r="A7" s="9" t="s">
        <v>27</v>
      </c>
      <c r="B7" s="16">
        <f>('Fund Activity'!D8*(1+0.015))</f>
        <v>23040.499999999996</v>
      </c>
      <c r="C7" s="17">
        <f>(B7*(1+0.015))</f>
        <v>23386.107499999995</v>
      </c>
      <c r="D7" s="17">
        <f>(C7*(1+0.015))</f>
        <v>23736.899112499992</v>
      </c>
      <c r="E7" s="17">
        <f>(D7*(1+0.015))</f>
        <v>24092.95259918749</v>
      </c>
      <c r="F7" s="17">
        <f>(E7*(1+0.015))</f>
        <v>24454.3468881753</v>
      </c>
    </row>
    <row r="8" spans="1:6">
      <c r="A8" s="9" t="s">
        <v>28</v>
      </c>
      <c r="B8" s="16">
        <f>('Fund Activity'!D9*(1+0.02))</f>
        <v>6579.0</v>
      </c>
      <c r="C8" s="17">
        <f>(B8*(1+0.02))</f>
        <v>6710.58</v>
      </c>
      <c r="D8" s="17">
        <f>(C8*(1+0.02))</f>
        <v>6844.7916000000005</v>
      </c>
      <c r="E8" s="17">
        <f>(D8*(1+0.02))</f>
        <v>6981.687432000001</v>
      </c>
      <c r="F8" s="17">
        <f>(E8*(1+0.02))</f>
        <v>7121.32118064</v>
      </c>
    </row>
    <row r="9" spans="1:6">
      <c r="A9" s="9" t="s">
        <v>29</v>
      </c>
      <c r="B9" s="16">
        <f>('Fund Activity'!D10*(1+0.03))</f>
        <v>5047.0</v>
      </c>
      <c r="C9" s="17">
        <f>(B9*(1+0.03))</f>
        <v>5198.41</v>
      </c>
      <c r="D9" s="17">
        <f>(C9*(1+0.03))</f>
        <v>5354.3623</v>
      </c>
      <c r="E9" s="17">
        <f>(D9*(1+0.03))</f>
        <v>5514.993169</v>
      </c>
      <c r="F9" s="17">
        <f>(E9*(1+0.03))</f>
        <v>5680.44296407</v>
      </c>
    </row>
    <row r="10" spans="1:6">
      <c r="A10" s="9" t="s">
        <v>30</v>
      </c>
      <c r="B10" s="16">
        <f>('Fund Activity'!D11*(1+0.02))</f>
        <v>3519.0</v>
      </c>
      <c r="C10" s="17">
        <f>(B10*(1+0.02))</f>
        <v>3589.38</v>
      </c>
      <c r="D10" s="17">
        <f>(C10*(1+0.02))</f>
        <v>3661.1676</v>
      </c>
      <c r="E10" s="17">
        <f>(D10*(1+0.02))</f>
        <v>3734.390952</v>
      </c>
      <c r="F10" s="17">
        <f>(E10*(1+0.02))</f>
        <v>3809.0787710400004</v>
      </c>
    </row>
    <row r="11" spans="1:6">
      <c r="A11" s="9" t="s">
        <v>31</v>
      </c>
      <c r="B11" s="16">
        <f>('Fund Activity'!D12*(1+0.02))</f>
        <v>2856.0</v>
      </c>
      <c r="C11" s="17">
        <f>(B11*(1+0.02))</f>
        <v>2913.12</v>
      </c>
      <c r="D11" s="17">
        <f>(C11*(1+0.02))</f>
        <v>2971.3824</v>
      </c>
      <c r="E11" s="17">
        <f>(D11*(1+0.02))</f>
        <v>3030.810048</v>
      </c>
      <c r="F11" s="17">
        <f>(E11*(1+0.02))</f>
        <v>3091.42624896</v>
      </c>
    </row>
    <row r="12" spans="1:6">
      <c r="A12" s="9" t="s">
        <v>32</v>
      </c>
      <c r="B12" s="16">
        <f>('Fund Activity'!D13*(1+0.03))</f>
        <v>6334.5</v>
      </c>
      <c r="C12" s="17">
        <f>(B12*(1+0.03))</f>
        <v>6524.535</v>
      </c>
      <c r="D12" s="17">
        <f>(C12*(1+0.03))</f>
        <v>6720.27105</v>
      </c>
      <c r="E12" s="17">
        <f>(D12*(1+0.03))</f>
        <v>6921.8791815</v>
      </c>
      <c r="F12" s="17">
        <f>(E12*(1+0.03))</f>
        <v>7129.535556945</v>
      </c>
    </row>
    <row r="13" spans="1:6">
      <c r="A13" s="9" t="s">
        <v>33</v>
      </c>
      <c r="B13" s="16">
        <f>('Fund Activity'!D14*(1+0))</f>
        <v>920.0</v>
      </c>
      <c r="C13" s="17">
        <f>(B13*(1+0))</f>
        <v>920.0</v>
      </c>
      <c r="D13" s="17">
        <f>(C13*(1+0))</f>
        <v>920.0</v>
      </c>
      <c r="E13" s="17">
        <f>(D13*(1+0))</f>
        <v>920.0</v>
      </c>
      <c r="F13" s="17">
        <f>(E13*(1+0))</f>
        <v>920.0</v>
      </c>
    </row>
    <row r="14" spans="1:6">
      <c r="A14" s="9" t="s">
        <v>34</v>
      </c>
      <c r="B14" s="17">
        <f>1900</f>
        <v>1900.0</v>
      </c>
      <c r="C14" s="17">
        <f>1700</f>
        <v>1700.0</v>
      </c>
      <c r="D14" s="17">
        <f>1600</f>
        <v>1600.0</v>
      </c>
      <c r="E14" s="17">
        <f>1600</f>
        <v>1600.0</v>
      </c>
      <c r="F14" s="17">
        <f>1600</f>
        <v>1600.0</v>
      </c>
    </row>
    <row r="15" spans="1:6">
      <c r="A15" s="9" t="s">
        <v>35</v>
      </c>
      <c r="B15" s="16">
        <f>('Fund Activity'!D16*(1+0.01))</f>
        <v>2070.5</v>
      </c>
      <c r="C15" s="17">
        <f>(B15*(1+0.01))</f>
        <v>2091.205</v>
      </c>
      <c r="D15" s="17">
        <f>(C15*(1+0.01))</f>
        <v>2112.11705</v>
      </c>
      <c r="E15" s="17">
        <f>(D15*(1+0.01))</f>
        <v>2133.2382205</v>
      </c>
      <c r="F15" s="17">
        <f>(E15*(1+0.01))</f>
        <v>2154.570602705</v>
      </c>
    </row>
    <row r="16" spans="1:6">
      <c r="A16" s="9" t="s">
        <v>36</v>
      </c>
      <c r="B16" s="16">
        <f>('Fund Activity'!D17*(1+0.02))</f>
        <v>714.0</v>
      </c>
      <c r="C16" s="17">
        <f>(B16*(1+0.02))</f>
        <v>728.28</v>
      </c>
      <c r="D16" s="17">
        <f>(C16*(1+0.02))</f>
        <v>742.8456</v>
      </c>
      <c r="E16" s="17">
        <f>(D16*(1+0.02))</f>
        <v>757.702512</v>
      </c>
      <c r="F16" s="17">
        <f>(E16*(1+0.02))</f>
        <v>772.85656224</v>
      </c>
    </row>
    <row r="17" spans="1:6">
      <c r="A17" s="12" t="s">
        <v>61</v>
      </c>
      <c r="B17" s="15">
        <f>(B6+B7+B8+B9+B10+B11+B12+B13+B14+B15+B16)</f>
        <v>96556.5</v>
      </c>
      <c r="C17" s="15">
        <f>(C6+C7+C8+C9+C10+C11+C12+C13+C14+C15+C16)</f>
        <v>99080.6575</v>
      </c>
      <c r="D17" s="15">
        <f>(D6+D7+D8+D9+D10+D11+D12+D13+D14+D15+D16)</f>
        <v>101795.63831249998</v>
      </c>
      <c r="E17" s="15">
        <f>(E6+E7+E8+E9+E10+E11+E12+E13+E14+E15+E16)</f>
        <v>104704.7277781875</v>
      </c>
      <c r="F17" s="15">
        <f>(F6+F7+F8+F9+F10+F11+F12+F13+F14+F15+F16)</f>
        <v>107711.33538533533</v>
      </c>
    </row>
    <row r="18" spans="1:6">
      <c r="A18" s="9" t="s">
        <v>37</v>
      </c>
      <c r="B18" s="16">
        <f>('Fund Activity'!D20*(1+0.033))</f>
        <v>10846.5</v>
      </c>
      <c r="C18" s="17">
        <f>(B18*(1+0.033))</f>
        <v>11204.4345</v>
      </c>
      <c r="D18" s="17">
        <f>(C18*(1+0.033))</f>
        <v>11574.180838499999</v>
      </c>
      <c r="E18" s="17">
        <f>(D18*(1+0.033))</f>
        <v>11956.128806170498</v>
      </c>
      <c r="F18" s="17">
        <f>(E18*(1+0.033))</f>
        <v>12350.681056774123</v>
      </c>
    </row>
    <row r="19" spans="1:6">
      <c r="A19" s="9" t="s">
        <v>38</v>
      </c>
      <c r="B19" s="16">
        <f>('Fund Activity'!D21*(1+0.033))</f>
        <v>36774.799999999996</v>
      </c>
      <c r="C19" s="17">
        <f>(B19*(1+0.033))</f>
        <v>37988.36839999999</v>
      </c>
      <c r="D19" s="17">
        <f>(C19*(1+0.033))</f>
        <v>39241.98455719999</v>
      </c>
      <c r="E19" s="17">
        <f>(D19*(1+0.033))</f>
        <v>40536.97004758759</v>
      </c>
      <c r="F19" s="17">
        <f>(E19*(1+0.033))</f>
        <v>41874.690059157976</v>
      </c>
    </row>
    <row r="20" spans="1:6">
      <c r="A20" s="9" t="s">
        <v>39</v>
      </c>
      <c r="B20" s="16">
        <f>('Fund Activity'!D22*(1+0.033))</f>
        <v>25721.699999999997</v>
      </c>
      <c r="C20" s="17">
        <f>(B20*(1+0.033))</f>
        <v>26570.516099999993</v>
      </c>
      <c r="D20" s="17">
        <f>(C20*(1+0.033))</f>
        <v>27447.343131299993</v>
      </c>
      <c r="E20" s="17">
        <f>(D20*(1+0.033))</f>
        <v>28353.10545463289</v>
      </c>
      <c r="F20" s="17">
        <f>(E20*(1+0.033))</f>
        <v>29288.75793463577</v>
      </c>
    </row>
    <row r="21" spans="1:6">
      <c r="A21" s="9" t="s">
        <v>40</v>
      </c>
      <c r="B21" s="16">
        <f>('Fund Activity'!D23*(1+0.033))</f>
        <v>11053.099999999999</v>
      </c>
      <c r="C21" s="17">
        <f>(B21*(1+0.033))</f>
        <v>11417.852299999997</v>
      </c>
      <c r="D21" s="17">
        <f>(C21*(1+0.033))</f>
        <v>11794.641425899996</v>
      </c>
      <c r="E21" s="17">
        <f>(D21*(1+0.033))</f>
        <v>12183.864592954695</v>
      </c>
      <c r="F21" s="17">
        <f>(E21*(1+0.033))</f>
        <v>12585.932124522198</v>
      </c>
    </row>
    <row r="22" spans="1:6">
      <c r="A22" s="9" t="s">
        <v>41</v>
      </c>
      <c r="B22" s="16">
        <f>('Fund Activity'!D24*(1+0.033))</f>
        <v>7850.799999999999</v>
      </c>
      <c r="C22" s="17">
        <f>(B22*(1+0.033))</f>
        <v>8109.876399999998</v>
      </c>
      <c r="D22" s="17">
        <f>(C22*(1+0.033))</f>
        <v>8377.502321199998</v>
      </c>
      <c r="E22" s="17">
        <f>(D22*(1+0.033))</f>
        <v>8653.959897799597</v>
      </c>
      <c r="F22" s="17">
        <f>(E22*(1+0.033))</f>
        <v>8939.540574426983</v>
      </c>
    </row>
    <row r="23" spans="1:6">
      <c r="A23" s="9" t="s">
        <v>42</v>
      </c>
      <c r="B23" s="16">
        <f>('Fund Activity'!D25*(1+0.033))</f>
        <v>4855.099999999999</v>
      </c>
      <c r="C23" s="17">
        <f>(B23*(1+0.033))</f>
        <v>5015.318299999999</v>
      </c>
      <c r="D23" s="17">
        <f>(C23*(1+0.033))</f>
        <v>5180.823803899999</v>
      </c>
      <c r="E23" s="17">
        <f>(D23*(1+0.033))</f>
        <v>5351.790989428699</v>
      </c>
      <c r="F23" s="17">
        <f>(E23*(1+0.033))</f>
        <v>5528.400092079845</v>
      </c>
    </row>
    <row r="24" spans="1:6">
      <c r="A24" s="9" t="s">
        <v>43</v>
      </c>
      <c r="B24" s="16">
        <f>('Fund Activity'!D26*(1+0.08))</f>
        <v>4212.0</v>
      </c>
      <c r="C24" s="17">
        <f>(B24*(1+0.08))</f>
        <v>4548.96</v>
      </c>
      <c r="D24" s="17">
        <f>(C24*(1+0.08))</f>
        <v>4912.8768</v>
      </c>
      <c r="E24" s="17">
        <f>(D24*(1+0.08))</f>
        <v>5305.906944</v>
      </c>
      <c r="F24" s="17">
        <f>(E24*(1+0.08))</f>
        <v>5730.3794995200005</v>
      </c>
    </row>
    <row r="25" spans="1:6">
      <c r="A25" s="12" t="s">
        <v>63</v>
      </c>
      <c r="B25" s="15">
        <f>(B18+B19+B20+B21+B22+B23+B24)</f>
        <v>101314.00000000001</v>
      </c>
      <c r="C25" s="15">
        <f>(C18+C19+C20+C21+C22+C23+C24)</f>
        <v>104855.32599999999</v>
      </c>
      <c r="D25" s="15">
        <f>(D18+D19+D20+D21+D22+D23+D24)</f>
        <v>108529.35287799998</v>
      </c>
      <c r="E25" s="15">
        <f>(E18+E19+E20+E21+E22+E23+E24)</f>
        <v>112341.72673257395</v>
      </c>
      <c r="F25" s="15">
        <f>(F18+F19+F20+F21+F22+F23+F24)</f>
        <v>116298.38134111688</v>
      </c>
    </row>
    <row r="26" spans="1:6">
      <c r="A26" s="12" t="s">
        <v>103</v>
      </c>
      <c r="B26" s="15">
        <f>(B17-B25)</f>
        <v>-4757.500000000015</v>
      </c>
      <c r="C26" s="15">
        <f>(C17-C25)</f>
        <v>-5774.668499999985</v>
      </c>
      <c r="D26" s="15">
        <f>(D17-D25)</f>
        <v>-6733.714565499991</v>
      </c>
      <c r="E26" s="15">
        <f>(E17-E25)</f>
        <v>-7636.99895438645</v>
      </c>
      <c r="F26" s="15">
        <f>(F17-F25)</f>
        <v>-8587.045955781548</v>
      </c>
    </row>
    <row r="27" spans="1:6">
      <c r="A27" s="9" t="s">
        <v>104</v>
      </c>
      <c r="B27" s="17">
        <f>-1650</f>
        <v>-1650.0</v>
      </c>
      <c r="C27" s="17">
        <f>-1650</f>
        <v>-1650.0</v>
      </c>
      <c r="D27" s="17">
        <f>-1650</f>
        <v>-1650.0</v>
      </c>
      <c r="E27" s="17">
        <f>-1650</f>
        <v>-1650.0</v>
      </c>
      <c r="F27" s="17">
        <f>-1650</f>
        <v>-1650.0</v>
      </c>
    </row>
    <row r="28" spans="1:6">
      <c r="A28" s="12" t="s">
        <v>67</v>
      </c>
      <c r="B28" s="15">
        <f>(B26+B27)</f>
        <v>-6407.500000000015</v>
      </c>
      <c r="C28" s="15">
        <f>(C26+C27)</f>
        <v>-7424.668499999985</v>
      </c>
      <c r="D28" s="15">
        <f>(D26+D27)</f>
        <v>-8383.714565499991</v>
      </c>
      <c r="E28" s="15">
        <f>(E26+E27)</f>
        <v>-9286.99895438645</v>
      </c>
      <c r="F28" s="15">
        <f>(F26+F27)</f>
        <v>-10237.045955781548</v>
      </c>
    </row>
    <row r="29" spans="1:6">
      <c r="A29" s="18" t="s">
        <v>105</v>
      </c>
      <c r="B29" s="24">
        <f>('Fund Activity'!D35+B28)</f>
        <v>11062.499999999985</v>
      </c>
      <c r="C29" s="19">
        <f>(B29+C28)</f>
        <v>3637.8315000000002</v>
      </c>
      <c r="D29" s="19">
        <f>(C29+D28)</f>
        <v>-4745.883065499991</v>
      </c>
      <c r="E29" s="19">
        <f>(D29+E28)</f>
        <v>-14032.882019886441</v>
      </c>
      <c r="F29" s="19">
        <f>(E29+F28)</f>
        <v>-24269.92797566799</v>
      </c>
    </row>
    <row r="30" spans="1:6">
      <c r="A30" s="13" t="s">
        <v>106</v>
      </c>
      <c r="B30" s="25">
        <f>((B29-1850)/B25)</f>
        <v>0.0909301774680694</v>
      </c>
      <c r="C30" s="25">
        <f>((C29-1850)/C25)</f>
        <v>0.017050459601832723</v>
      </c>
      <c r="D30" s="25">
        <f>((D29-1850)/D25)</f>
        <v>-0.06077510729207568</v>
      </c>
      <c r="E30" s="25">
        <f>((E29-1850)/E25)</f>
        <v>-0.1413800773927497</v>
      </c>
      <c r="F30" s="25">
        <f>((F29-1850)/F25)</f>
        <v>-0.22459408011066945</v>
      </c>
    </row>
    <row r="31" spans="1:6">
      <c r="A31" s="13" t="s">
        <v>107</v>
      </c>
      <c r="B31" s="14">
        <f>(B25*'Assumptions'!B37)</f>
        <v>17223.380000000005</v>
      </c>
      <c r="C31" s="14">
        <f>(C25*'Assumptions'!B37)</f>
        <v>17825.40542</v>
      </c>
      <c r="D31" s="14">
        <f>(D25*'Assumptions'!B37)</f>
        <v>18449.989989259997</v>
      </c>
      <c r="E31" s="14">
        <f>(E25*'Assumptions'!B37)</f>
        <v>19098.093544537573</v>
      </c>
      <c r="F31" s="14">
        <f>(F25*'Assumptions'!B37)</f>
        <v>19770.72482798987</v>
      </c>
    </row>
  </sheetData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3"/>
  <sheetViews>
    <sheetView showGridLines="0" workbookViewId="0"/>
  </sheetViews>
  <sheetFormatPr defaultRowHeight="15"/>
  <cols>
    <col min="1" max="1" width="52.7109375" customWidth="1"/>
  </cols>
  <sheetData>
    <row r="1" spans="1:2">
      <c r="A1" s="1" t="s">
        <v>0</v>
      </c>
    </row>
    <row r="2" spans="1:2">
      <c r="A2" s="3" t="s">
        <v>108</v>
      </c>
    </row>
    <row r="3" spans="1:2">
      <c r="A3" s="7" t="s">
        <v>22</v>
      </c>
    </row>
    <row r="5" spans="1:2">
      <c r="A5" s="8"/>
      <c r="B5" s="8" t="s">
        <v>109</v>
      </c>
    </row>
    <row r="6" spans="1:2">
      <c r="A6" s="9" t="s">
        <v>110</v>
      </c>
      <c r="B6" s="17">
        <f>1600</f>
        <v>1600.0</v>
      </c>
    </row>
    <row r="7" spans="1:2">
      <c r="A7" s="9" t="s">
        <v>111</v>
      </c>
      <c r="B7" s="17">
        <f>900</f>
        <v>900.0</v>
      </c>
    </row>
    <row r="8" spans="1:2">
      <c r="A8" s="9" t="s">
        <v>112</v>
      </c>
      <c r="B8" s="17">
        <f>980</f>
        <v>980.0</v>
      </c>
    </row>
    <row r="9" spans="1:2">
      <c r="A9" s="9" t="s">
        <v>113</v>
      </c>
      <c r="B9" s="17">
        <f>1000</f>
        <v>1000.0</v>
      </c>
    </row>
    <row r="10" spans="1:2">
      <c r="A10" s="9" t="s">
        <v>114</v>
      </c>
      <c r="B10" s="17">
        <f>150</f>
        <v>150.0</v>
      </c>
    </row>
    <row r="11" spans="1:2">
      <c r="A11" s="12" t="s">
        <v>115</v>
      </c>
      <c r="B11" s="15">
        <f>(B6+B7+B8+B9+B10)</f>
        <v>4630.0</v>
      </c>
    </row>
    <row r="12" spans="1:2">
      <c r="A12" s="9" t="s">
        <v>116</v>
      </c>
      <c r="B12" s="16">
        <f>'Forecast'!B28</f>
        <v>-6407.500000000015</v>
      </c>
    </row>
    <row r="13" spans="1:2">
      <c r="A13" s="18" t="s">
        <v>117</v>
      </c>
      <c r="B13" s="19">
        <f>(B12+B11)</f>
        <v>-1777.5000000000146</v>
      </c>
    </row>
  </sheetData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2"/>
  <sheetViews>
    <sheetView showGridLines="0" workbookViewId="0"/>
  </sheetViews>
  <sheetFormatPr defaultRowHeight="15"/>
  <cols>
    <col min="1" max="1" width="46.7109375" customWidth="1"/>
    <col min="2" max="4" width="16.7109375" customWidth="1"/>
  </cols>
  <sheetData>
    <row r="1" spans="1:3">
      <c r="A1" s="1" t="s">
        <v>17</v>
      </c>
    </row>
    <row r="3" spans="1:3">
      <c r="A3" s="12" t="s">
        <v>118</v>
      </c>
      <c r="B3" s="12" t="str">
        <f>IF(COUNTIF(C5:C22,"CHECK")=0,"ALL OK","CHECK FAILURES")</f>
        <v>ALL OK</v>
      </c>
    </row>
    <row r="4" spans="1:3">
      <c r="A4" s="8" t="s">
        <v>119</v>
      </c>
      <c r="B4" s="8" t="s">
        <v>120</v>
      </c>
      <c r="C4" s="8" t="s">
        <v>121</v>
      </c>
    </row>
    <row r="5" spans="1:3">
      <c r="A5" s="9" t="s">
        <v>122</v>
      </c>
      <c r="B5" s="17">
        <f>('Fund Balance Sheet'!B11)-('Fund Balance Sheet'!B26)</f>
        <v>0.0</v>
      </c>
      <c r="C5" s="9" t="str">
        <f>IF(ABS(B5)&lt;0.5,"OK","CHECK")</f>
        <v>OK</v>
      </c>
    </row>
    <row r="6" spans="1:3">
      <c r="A6" s="9" t="s">
        <v>123</v>
      </c>
      <c r="B6" s="17">
        <f>('Fund Balance Sheet'!C11)-('Fund Balance Sheet'!C26)</f>
        <v>0.0</v>
      </c>
      <c r="C6" s="9" t="str">
        <f>IF(ABS(B6)&lt;0.5,"OK","CHECK")</f>
        <v>OK</v>
      </c>
    </row>
    <row r="7" spans="1:3">
      <c r="A7" s="9" t="s">
        <v>124</v>
      </c>
      <c r="B7" s="17">
        <f>('Fund Balance Sheet'!D11)-('Fund Balance Sheet'!D26)</f>
        <v>0.0</v>
      </c>
      <c r="C7" s="9" t="str">
        <f>IF(ABS(B7)&lt;0.5,"OK","CHECK")</f>
        <v>OK</v>
      </c>
    </row>
    <row r="8" spans="1:3">
      <c r="A8" s="9" t="s">
        <v>125</v>
      </c>
      <c r="B8" s="17">
        <f>('Fund Balance Sheet'!B25)-('Fund Activity'!B35)</f>
        <v>0.0</v>
      </c>
      <c r="C8" s="9" t="str">
        <f>IF(ABS(B8)&lt;0.5,"OK","CHECK")</f>
        <v>OK</v>
      </c>
    </row>
    <row r="9" spans="1:3">
      <c r="A9" s="9" t="s">
        <v>126</v>
      </c>
      <c r="B9" s="17">
        <f>('Fund Balance Sheet'!C25)-('Fund Activity'!C35)</f>
        <v>0.0</v>
      </c>
      <c r="C9" s="9" t="str">
        <f>IF(ABS(B9)&lt;0.5,"OK","CHECK")</f>
        <v>OK</v>
      </c>
    </row>
    <row r="10" spans="1:3">
      <c r="A10" s="9" t="s">
        <v>127</v>
      </c>
      <c r="B10" s="17">
        <f>('Fund Balance Sheet'!D25)-('Fund Activity'!D35)</f>
        <v>0.0</v>
      </c>
      <c r="C10" s="9" t="str">
        <f>IF(ABS(B10)&lt;0.5,"OK","CHECK")</f>
        <v>OK</v>
      </c>
    </row>
    <row r="11" spans="1:3">
      <c r="A11" s="9" t="s">
        <v>128</v>
      </c>
      <c r="B11" s="17">
        <f>('Fund Activity'!B34)-('Assumptions'!B26)</f>
        <v>0.0</v>
      </c>
      <c r="C11" s="9" t="str">
        <f>IF(ABS(B11)&lt;0.5,"OK","CHECK")</f>
        <v>OK</v>
      </c>
    </row>
    <row r="12" spans="1:3">
      <c r="A12" s="9" t="s">
        <v>129</v>
      </c>
      <c r="B12" s="17">
        <f>('Fund Activity'!C34)-('Fund Activity'!B35)</f>
        <v>0.0</v>
      </c>
      <c r="C12" s="9" t="str">
        <f>IF(ABS(B12)&lt;0.5,"OK","CHECK")</f>
        <v>OK</v>
      </c>
    </row>
    <row r="13" spans="1:3">
      <c r="A13" s="9" t="s">
        <v>130</v>
      </c>
      <c r="B13" s="17">
        <f>('Fund Activity'!D34)-('Fund Activity'!C35)</f>
        <v>0.0</v>
      </c>
      <c r="C13" s="9" t="str">
        <f>IF(ABS(B13)&lt;0.5,"OK","CHECK")</f>
        <v>OK</v>
      </c>
    </row>
    <row r="14" spans="1:3">
      <c r="A14" s="9" t="s">
        <v>131</v>
      </c>
      <c r="B14" s="17">
        <f>('Fund Activity'!B18)-(('Fund Activity'!B7+'Fund Activity'!B8+'Fund Activity'!B9+'Fund Activity'!B10+'Fund Activity'!B11+'Fund Activity'!B12+'Fund Activity'!B13+'Fund Activity'!B14+'Fund Activity'!B15+'Fund Activity'!B16+'Fund Activity'!B17))</f>
        <v>0.0</v>
      </c>
      <c r="C14" s="9" t="str">
        <f>IF(ABS(B14)&lt;0.5,"OK","CHECK")</f>
        <v>OK</v>
      </c>
    </row>
    <row r="15" spans="1:3">
      <c r="A15" s="9" t="s">
        <v>132</v>
      </c>
      <c r="B15" s="17">
        <f>('Fund Activity'!C18)-(('Fund Activity'!C7+'Fund Activity'!C8+'Fund Activity'!C9+'Fund Activity'!C10+'Fund Activity'!C11+'Fund Activity'!C12+'Fund Activity'!C13+'Fund Activity'!C14+'Fund Activity'!C15+'Fund Activity'!C16+'Fund Activity'!C17))</f>
        <v>0.0</v>
      </c>
      <c r="C15" s="9" t="str">
        <f>IF(ABS(B15)&lt;0.5,"OK","CHECK")</f>
        <v>OK</v>
      </c>
    </row>
    <row r="16" spans="1:3">
      <c r="A16" s="9" t="s">
        <v>133</v>
      </c>
      <c r="B16" s="17">
        <f>('Fund Activity'!D18)-(('Fund Activity'!D7+'Fund Activity'!D8+'Fund Activity'!D9+'Fund Activity'!D10+'Fund Activity'!D11+'Fund Activity'!D12+'Fund Activity'!D13+'Fund Activity'!D14+'Fund Activity'!D15+'Fund Activity'!D16+'Fund Activity'!D17))</f>
        <v>0.0</v>
      </c>
      <c r="C16" s="9" t="str">
        <f>IF(ABS(B16)&lt;0.5,"OK","CHECK")</f>
        <v>OK</v>
      </c>
    </row>
    <row r="17" spans="1:3">
      <c r="A17" s="9" t="s">
        <v>134</v>
      </c>
      <c r="B17" s="17">
        <f>('Fund Activity'!B27)-(('Fund Activity'!B20+'Fund Activity'!B21+'Fund Activity'!B22+'Fund Activity'!B23+'Fund Activity'!B24+'Fund Activity'!B25+'Fund Activity'!B26))</f>
        <v>0.0</v>
      </c>
      <c r="C17" s="9" t="str">
        <f>IF(ABS(B17)&lt;0.5,"OK","CHECK")</f>
        <v>OK</v>
      </c>
    </row>
    <row r="18" spans="1:3">
      <c r="A18" s="9" t="s">
        <v>135</v>
      </c>
      <c r="B18" s="17">
        <f>('Fund Activity'!C27)-(('Fund Activity'!C20+'Fund Activity'!C21+'Fund Activity'!C22+'Fund Activity'!C23+'Fund Activity'!C24+'Fund Activity'!C25+'Fund Activity'!C26))</f>
        <v>0.0</v>
      </c>
      <c r="C18" s="9" t="str">
        <f>IF(ABS(B18)&lt;0.5,"OK","CHECK")</f>
        <v>OK</v>
      </c>
    </row>
    <row r="19" spans="1:3">
      <c r="A19" s="9" t="s">
        <v>136</v>
      </c>
      <c r="B19" s="17">
        <f>('Fund Activity'!D27)-(('Fund Activity'!D20+'Fund Activity'!D21+'Fund Activity'!D22+'Fund Activity'!D23+'Fund Activity'!D24+'Fund Activity'!D25+'Fund Activity'!D26))</f>
        <v>0.0</v>
      </c>
      <c r="C19" s="9" t="str">
        <f>IF(ABS(B19)&lt;0.5,"OK","CHECK")</f>
        <v>OK</v>
      </c>
    </row>
    <row r="20" spans="1:3">
      <c r="A20" s="9" t="s">
        <v>137</v>
      </c>
      <c r="B20" s="17">
        <f>('Fund Balance Sheet'!B7)-(MAX('Fund Balance Sheet'!B7,0))</f>
        <v>0.0</v>
      </c>
      <c r="C20" s="9" t="str">
        <f>IF(ABS(B20)&lt;0.5,"OK","CHECK")</f>
        <v>OK</v>
      </c>
    </row>
    <row r="21" spans="1:3">
      <c r="A21" s="9" t="s">
        <v>138</v>
      </c>
      <c r="B21" s="17">
        <f>('Fund Balance Sheet'!C7)-(MAX('Fund Balance Sheet'!C7,0))</f>
        <v>0.0</v>
      </c>
      <c r="C21" s="9" t="str">
        <f>IF(ABS(B21)&lt;0.5,"OK","CHECK")</f>
        <v>OK</v>
      </c>
    </row>
    <row r="22" spans="1:3">
      <c r="A22" s="9" t="s">
        <v>139</v>
      </c>
      <c r="B22" s="17">
        <f>('Fund Balance Sheet'!D7)-(MAX('Fund Balance Sheet'!D7,0))</f>
        <v>0.0</v>
      </c>
      <c r="C22" s="9" t="str">
        <f>IF(ABS(B22)&lt;0.5,"OK","CHECK")</f>
        <v>OK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Fund Activity</vt:lpstr>
      <vt:lpstr>Fund Balance Sheet</vt:lpstr>
      <vt:lpstr>Budget vs Actual</vt:lpstr>
      <vt:lpstr>Forecast</vt:lpstr>
      <vt:lpstr>Options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City of Palomar Vista, California FY2025 Financial Model</dc:title>
  <dc:subject/>
  <dc:creator>George Murad</dc:creator>
  <cp:keywords/>
  <dc:description/>
  <cp:lastModifiedBy>George Murad</cp:lastModifiedBy>
  <dcterms:created xsi:type="dcterms:W3CDTF">2026-09-28T07:42:40Z</dcterms:created>
  <dcterms:modified xsi:type="dcterms:W3CDTF">2026-09-28T07:42:40Z</dcterms:modified>
</cp:coreProperties>
</file>