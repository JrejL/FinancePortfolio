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Close Checklist" sheetId="2" r:id="rId2"/>
    <sheet name="Unadjusted TB" sheetId="3" r:id="rId3"/>
    <sheet name="Adjusting Entries" sheetId="4" r:id="rId4"/>
    <sheet name="Accruals and Prepaids" sheetId="5" r:id="rId5"/>
    <sheet name="Fixed Assets" sheetId="6" r:id="rId6"/>
    <sheet name="Inventory" sheetId="7" r:id="rId7"/>
    <sheet name="Bank Reconciliation" sheetId="8" r:id="rId8"/>
    <sheet name="Subledgers" sheetId="9" r:id="rId9"/>
    <sheet name="Adjusted TB" sheetId="10" r:id="rId10"/>
    <sheet name="Statements" sheetId="11" r:id="rId11"/>
    <sheet name="Checks" sheetId="12" r:id="rId12"/>
  </sheets>
  <calcPr calcId="124519" fullCalcOnLoad="1"/>
</workbook>
</file>

<file path=xl/sharedStrings.xml><?xml version="1.0" encoding="utf-8"?>
<sst xmlns="http://schemas.openxmlformats.org/spreadsheetml/2006/main" count="500" uniqueCount="277">
  <si>
    <t>Saltbrush Beverage Co., December 2025 Close</t>
  </si>
  <si>
    <t>The December 2025 month end close behind Saltbrush Beverage Co.'s FY2025 statements</t>
  </si>
  <si>
    <t>Fiscal years covered: FY2025</t>
  </si>
  <si>
    <t>Industry: Consumer products manufacturer (beverages)</t>
  </si>
  <si>
    <t>Role fit: Staff accountant, Financial reporting, FP&amp;A</t>
  </si>
  <si>
    <t>The close ties to the FY2025 year end already reported in the Saltbrush Beverage Co. three statement model.</t>
  </si>
  <si>
    <t>Fictional company. All figures are illustrative and were built for this portfolio.</t>
  </si>
  <si>
    <t>Prepared by George Murad</t>
  </si>
  <si>
    <t>Contents</t>
  </si>
  <si>
    <t>Cover</t>
  </si>
  <si>
    <t>Close Checklist</t>
  </si>
  <si>
    <t>Unadjusted TB</t>
  </si>
  <si>
    <t>Adjusting Entries</t>
  </si>
  <si>
    <t>Accruals and Prepaids</t>
  </si>
  <si>
    <t>Fixed Assets</t>
  </si>
  <si>
    <t>Inventory</t>
  </si>
  <si>
    <t>Bank Reconciliation</t>
  </si>
  <si>
    <t>Subledgers</t>
  </si>
  <si>
    <t>Adjusted TB</t>
  </si>
  <si>
    <t>Statements</t>
  </si>
  <si>
    <t>Checks</t>
  </si>
  <si>
    <t>Color legend</t>
  </si>
  <si>
    <t>Hardcoded input</t>
  </si>
  <si>
    <t>Formula, same sheet</t>
  </si>
  <si>
    <t>Formula, pulls from another sheet</t>
  </si>
  <si>
    <t>(whole dollars, except the Statements sheet, which is $ in thousands)  Numbered journal, December 31, 2025</t>
  </si>
  <si>
    <t>JE #</t>
  </si>
  <si>
    <t>Date</t>
  </si>
  <si>
    <t>Debit</t>
  </si>
  <si>
    <t>Credit</t>
  </si>
  <si>
    <t>Description</t>
  </si>
  <si>
    <t>Supporting sheet</t>
  </si>
  <si>
    <t>JE 01  Dec 31, 2025  Accrue unpaid December payroll (3 days of the $610,000 biweekly companywide payroll run, split 71% to cost of sales and 29% to G&amp;A by the model's own FY2025 expense shares)  (supporting: Accruals and Prepaids)</t>
  </si>
  <si>
    <t>Cost of sales at standard</t>
  </si>
  <si>
    <t>Dec 31, 2025</t>
  </si>
  <si>
    <t>Accrue unpaid December payroll (3 days of the $610,000 biweekly companywide payroll run, split 71% to cost of sales and 29% to G&amp;A by the model's own FY2025 expense shares)</t>
  </si>
  <si>
    <t>General and administrative</t>
  </si>
  <si>
    <t>Accrued payroll</t>
  </si>
  <si>
    <t>JE 02  Dec 31, 2025  Accrue payroll taxes on the unpaid December payroll, at 7.65%, split the same way as JE 01  (supporting: Accruals and Prepaids)</t>
  </si>
  <si>
    <t>Accrue payroll taxes on the unpaid December payroll, at 7.65%, split the same way as JE 01</t>
  </si>
  <si>
    <t>Accrued payroll taxes</t>
  </si>
  <si>
    <t>JE 03  Dec 31, 2025  Accrue two weeks of December freight not yet invoiced  (supporting: Accruals and Prepaids)</t>
  </si>
  <si>
    <t>Selling and distribution</t>
  </si>
  <si>
    <t>Accrue two weeks of December freight not yet invoiced</t>
  </si>
  <si>
    <t>Accrued freight</t>
  </si>
  <si>
    <t>JE 04  Dec 31, 2025  Accrue December utilities  (supporting: Accruals and Prepaids)</t>
  </si>
  <si>
    <t>Accrue December utilities</t>
  </si>
  <si>
    <t>Accrued utilities</t>
  </si>
  <si>
    <t>JE 05  Dec 31, 2025  Amortize December prepaid insurance  (supporting: Accruals and Prepaids)</t>
  </si>
  <si>
    <t>Amortize December prepaid insurance</t>
  </si>
  <si>
    <t>Prepaid expenses</t>
  </si>
  <si>
    <t>JE 06  Dec 31, 2025  Record December depreciation  (supporting: Fixed Assets)</t>
  </si>
  <si>
    <t>Depreciation</t>
  </si>
  <si>
    <t>Record December depreciation</t>
  </si>
  <si>
    <t>Accumulated depreciation</t>
  </si>
  <si>
    <t>JE 07  Dec 31, 2025  Physical inventory count adjustment (shrinkage)  (supporting: Inventory)</t>
  </si>
  <si>
    <t>Physical inventory count adjustment (shrinkage)</t>
  </si>
  <si>
    <t>JE 08  Dec 31, 2025  Close December's manufacturing variance to the income statement, one twelfth of the FY2025 total  (supporting: Inventory)</t>
  </si>
  <si>
    <t>Manufacturing variances</t>
  </si>
  <si>
    <t>Close December's manufacturing variance to the income statement, one twelfth of the FY2025 total</t>
  </si>
  <si>
    <t>Production variance clearing</t>
  </si>
  <si>
    <t>JE 09  Dec 31, 2025  Record December bank service charges  (supporting: Bank Reconciliation)</t>
  </si>
  <si>
    <t>Record December bank service charges</t>
  </si>
  <si>
    <t>Cash</t>
  </si>
  <si>
    <t>JE 10  Dec 31, 2025  Accrue December interest, equipment loan and revolver  (supporting: Accruals and Prepaids)</t>
  </si>
  <si>
    <t>Interest expense</t>
  </si>
  <si>
    <t>Accrue December interest, equipment loan and revolver</t>
  </si>
  <si>
    <t>Accrued interest</t>
  </si>
  <si>
    <t>JE 11  Dec 31, 2025  Record the allowance for doubtful accounts, by aging bucket loss rate  (supporting: Subledgers)</t>
  </si>
  <si>
    <t>Record the allowance for doubtful accounts, by aging bucket loss rate</t>
  </si>
  <si>
    <t>Allowance for doubtful accounts</t>
  </si>
  <si>
    <t>JE 12  Dec 31, 2025  True up income tax payable at the model's 25.0% effective rate against the $400,000 tax estimate already accrued during the year  (supporting: Adjusted TB)</t>
  </si>
  <si>
    <t>Income tax expense</t>
  </si>
  <si>
    <t>True up income tax payable at the model's 25.0% effective rate against the $400,000 tax estimate already accrued during the year</t>
  </si>
  <si>
    <t>Income tax payable</t>
  </si>
  <si>
    <t>JE 13  Dec 31, 2025  Cutoff: goods received in December, not yet invoiced  (supporting: Inventory)</t>
  </si>
  <si>
    <t>Cutoff: goods received in December, not yet invoiced</t>
  </si>
  <si>
    <t>Accounts payable</t>
  </si>
  <si>
    <t>JE 14  Dec 31, 2025  Accrue the December portion of the annual employee bonus pool (one twelfth of $1,200,000)  (supporting: Accruals and Prepaids)</t>
  </si>
  <si>
    <t>Accrue the December portion of the annual employee bonus pool (one twelfth of $1,200,000)</t>
  </si>
  <si>
    <t>Accrued bonus (annual pool)</t>
  </si>
  <si>
    <t>Total, all adjusting entries</t>
  </si>
  <si>
    <t/>
  </si>
  <si>
    <t>Every entry above balances; this total ties debits to credits.</t>
  </si>
  <si>
    <t>Unadjusted Trial Balance</t>
  </si>
  <si>
    <t>(whole dollars, except the Statements sheet, which is $ in thousands)  December 31, 2025, before adjusting entries</t>
  </si>
  <si>
    <t>Accounts receivable, gross</t>
  </si>
  <si>
    <t>Property, plant and equipment, gross</t>
  </si>
  <si>
    <t>Accrued vacation</t>
  </si>
  <si>
    <t>Other accrued expenses</t>
  </si>
  <si>
    <t>Revolver</t>
  </si>
  <si>
    <t>Equipment loan</t>
  </si>
  <si>
    <t>Common stock and paid in capital</t>
  </si>
  <si>
    <t>Retained earnings, beginning of year</t>
  </si>
  <si>
    <t>Revenue</t>
  </si>
  <si>
    <t>Marketing</t>
  </si>
  <si>
    <t>Total</t>
  </si>
  <si>
    <t>(whole dollars, except the Statements sheet, which is $ in thousands)  December depreciation roll forward by asset class</t>
  </si>
  <si>
    <t>Gross</t>
  </si>
  <si>
    <t>Accum. dep., Nov 30</t>
  </si>
  <si>
    <t>December depreciation</t>
  </si>
  <si>
    <t>Accum. dep., Dec 31</t>
  </si>
  <si>
    <t>Net PP&amp;E</t>
  </si>
  <si>
    <t>Production equipment</t>
  </si>
  <si>
    <t>Canning line</t>
  </si>
  <si>
    <t>Delivery vehicles</t>
  </si>
  <si>
    <t>Office and IT equipment</t>
  </si>
  <si>
    <t>Total property, plant and equipment</t>
  </si>
  <si>
    <t>(whole dollars, except the Statements sheet, which is $ in thousands)  Book versus physical count, and the standard cost variance close out</t>
  </si>
  <si>
    <t>Amount</t>
  </si>
  <si>
    <t>Book inventory, per perpetual records (before cutoff and count)</t>
  </si>
  <si>
    <t>Add: goods received in December, not yet invoiced (cutoff)</t>
  </si>
  <si>
    <t>Book inventory, before the physical count adjustment</t>
  </si>
  <si>
    <t>Physical inventory count, December 31, 2025</t>
  </si>
  <si>
    <t>Count adjustment (shrinkage)</t>
  </si>
  <si>
    <t>Adjusted inventory, per adjusted trial balance</t>
  </si>
  <si>
    <t>Check: adjusted inventory equals the physical count</t>
  </si>
  <si>
    <t>Standard cost variance close out (December's share only; January through November already recognized in Manufacturing variances during the year)</t>
  </si>
  <si>
    <t>Production variance clearing, before close out (December's variance, unclosed)</t>
  </si>
  <si>
    <t>Close out to Manufacturing variances (income statement)</t>
  </si>
  <si>
    <t>Production variance clearing, after close out</t>
  </si>
  <si>
    <t>Check: manufacturing variances, year to date, equals the FY2025 total</t>
  </si>
  <si>
    <t>(whole dollars, except the Statements sheet, which is $ in thousands)  Cash, December 31, 2025</t>
  </si>
  <si>
    <t>Bank statement balance, December 31, 2025 (per the bank statement)</t>
  </si>
  <si>
    <t>Add: deposits in transit</t>
  </si>
  <si>
    <t>Less: outstanding checks</t>
  </si>
  <si>
    <t>Adjusted bank balance</t>
  </si>
  <si>
    <t>Book balance, per unadjusted trial balance</t>
  </si>
  <si>
    <t>Less: December bank service charges</t>
  </si>
  <si>
    <t>Adjusted book balance</t>
  </si>
  <si>
    <t>Difference (adjusted bank less adjusted book)</t>
  </si>
  <si>
    <t>(whole dollars, except the Statements sheet, which is $ in thousands)  December 31, 2025. Accrued payroll, payroll taxes, freight and utilities reverse January 1, 2026; accrued interest and income tax payable clear when paid, not by reversal; the bonus pool, vacation and other accrued expenses carry forward, not reversing.</t>
  </si>
  <si>
    <t>Dec 1, after reversals</t>
  </si>
  <si>
    <t>December activity</t>
  </si>
  <si>
    <t>Dec 31 balance</t>
  </si>
  <si>
    <t>Accrued payroll (reverses January 1, 2026)</t>
  </si>
  <si>
    <t>Accrued payroll taxes (reverses January 1, 2026)</t>
  </si>
  <si>
    <t>Accrued freight (reverses January 1, 2026)</t>
  </si>
  <si>
    <t>Accrued utilities (reverses January 1, 2026)</t>
  </si>
  <si>
    <t>Accrued interest, equipment loan and revolver (clears at the next scheduled interest payment, not a January 1 reversal)</t>
  </si>
  <si>
    <t>Income tax payable (clears when the return is filed and paid, not a January 1 reversal)</t>
  </si>
  <si>
    <t>Accrued bonus, annual pool (carries forward; one twelfth accrues each month, not a reversal)</t>
  </si>
  <si>
    <t>Accrued vacation (carries forward, not reversing)</t>
  </si>
  <si>
    <t>Other accrued expenses (carries forward, not reversing)</t>
  </si>
  <si>
    <t>Total accrued liabilities, per this schedule</t>
  </si>
  <si>
    <t>Check: schedule total equals accrued liabilities on the adjusted TB</t>
  </si>
  <si>
    <t>Prepaid insurance amortization</t>
  </si>
  <si>
    <t>Prepaid insurance, December 1, 2025</t>
  </si>
  <si>
    <t>Less: December amortization</t>
  </si>
  <si>
    <t>Prepaid insurance, December 31, 2025</t>
  </si>
  <si>
    <t>Check: ending balance equals prepaid expenses on the adjusted TB</t>
  </si>
  <si>
    <t>Adjusted Trial Balance</t>
  </si>
  <si>
    <t>(whole dollars, except the Statements sheet, which is $ in thousands)  December 31, 2025</t>
  </si>
  <si>
    <t>Unadjusted Debit</t>
  </si>
  <si>
    <t>Unadjusted Credit</t>
  </si>
  <si>
    <t>Adjustments Debit</t>
  </si>
  <si>
    <t>Adjustments Credit</t>
  </si>
  <si>
    <t>Adjusted Debit</t>
  </si>
  <si>
    <t>Adjusted Credit</t>
  </si>
  <si>
    <t>Net income, unadjusted (revenue less unadjusted expense accounts)</t>
  </si>
  <si>
    <t>Net income, adjusted (revenue less adjusted expense accounts)</t>
  </si>
  <si>
    <t>Net income effect of the adjusting entries</t>
  </si>
  <si>
    <t>Income tax rate used for the December provision (the model's own effective FY2025 rate)</t>
  </si>
  <si>
    <t>Check: net PP&amp;E per schedule equals PP&amp;E net on the adjusted TB</t>
  </si>
  <si>
    <t>(whole dollars, except the Statements sheet, which is $ in thousands)  Accounts receivable aging and accounts payable, December 31, 2025</t>
  </si>
  <si>
    <t>Accounts receivable aging</t>
  </si>
  <si>
    <t>Current</t>
  </si>
  <si>
    <t>1 to 30 days</t>
  </si>
  <si>
    <t>31 to 60 days</t>
  </si>
  <si>
    <t>61 to 90 days</t>
  </si>
  <si>
    <t>Over 90 days</t>
  </si>
  <si>
    <t>Total accounts receivable, gross</t>
  </si>
  <si>
    <t>Allowance for doubtful accounts (loss rate by aging bucket)</t>
  </si>
  <si>
    <t>Current: loss rate 0.3%</t>
  </si>
  <si>
    <t>1 to 30 days: loss rate 1.0%</t>
  </si>
  <si>
    <t>31 to 60 days: loss rate 4.0%</t>
  </si>
  <si>
    <t>61 to 90 days: loss rate 12.0%</t>
  </si>
  <si>
    <t>Over 90 days: loss rate 35%</t>
  </si>
  <si>
    <t>Computed allowance for doubtful accounts</t>
  </si>
  <si>
    <t>Less: allowance for doubtful accounts</t>
  </si>
  <si>
    <t>Accounts receivable, net</t>
  </si>
  <si>
    <t>Check: AR aging ties to the AR control account</t>
  </si>
  <si>
    <t>Check: computed allowance equals the allowance on the adjusted TB</t>
  </si>
  <si>
    <t>Can and packaging supplier</t>
  </si>
  <si>
    <t>Ingredient supplier</t>
  </si>
  <si>
    <t>Freight and logistics carrier</t>
  </si>
  <si>
    <t>Contract packing partner</t>
  </si>
  <si>
    <t>Other trade payables</t>
  </si>
  <si>
    <t>Total accounts payable, per subledger</t>
  </si>
  <si>
    <t>Check: AP subledger ties to the AP control account</t>
  </si>
  <si>
    <t>FY2025 Statements, from the adjusted trial balance</t>
  </si>
  <si>
    <t>($ in thousands, with a whole dollar section below for the data file)</t>
  </si>
  <si>
    <t>FY2025</t>
  </si>
  <si>
    <t>Income Statement, for the year ended December 31, 2025 ($ in thousands)</t>
  </si>
  <si>
    <t>Gross profit</t>
  </si>
  <si>
    <t>EBITDA</t>
  </si>
  <si>
    <t>Operating income</t>
  </si>
  <si>
    <t>Income before taxes</t>
  </si>
  <si>
    <t>Net income</t>
  </si>
  <si>
    <t>Balance Sheet, as of December 31, 2025 ($ in thousands)</t>
  </si>
  <si>
    <t>Cash and cash equivalents</t>
  </si>
  <si>
    <t>Accounts receivable</t>
  </si>
  <si>
    <t>Total current assets</t>
  </si>
  <si>
    <t>Property, plant and equipment, net</t>
  </si>
  <si>
    <t>Total assets</t>
  </si>
  <si>
    <t>Accrued liabilities</t>
  </si>
  <si>
    <t>Total current liabilities</t>
  </si>
  <si>
    <t>Total liabilities</t>
  </si>
  <si>
    <t>Retained earnings</t>
  </si>
  <si>
    <t>Total equity</t>
  </si>
  <si>
    <t>Total liabilities and equity</t>
  </si>
  <si>
    <t>Income Statement, for the year ended December 31, 2025 (whole dollars, supports the data file)</t>
  </si>
  <si>
    <t>Balance Sheet, as of December 31, 2025 (whole dollars, supports the data file)</t>
  </si>
  <si>
    <t>Overall status</t>
  </si>
  <si>
    <t>Check</t>
  </si>
  <si>
    <t>Difference</t>
  </si>
  <si>
    <t>Status</t>
  </si>
  <si>
    <t>Unadjusted TB balances (debits equal credits)</t>
  </si>
  <si>
    <t>Adjusting entries balance (debits equal credits)</t>
  </si>
  <si>
    <t>Adjusted TB, unadjusted column balances</t>
  </si>
  <si>
    <t>Adjusted TB, adjustments column balances</t>
  </si>
  <si>
    <t>Adjusted TB balances (debits equal credits)</t>
  </si>
  <si>
    <t>Inventory: adjusted inventory equals the physical count</t>
  </si>
  <si>
    <t>Inventory: December's variance close out plus the year to date balance equals the FY2025 total</t>
  </si>
  <si>
    <t>Bank reconciliation: adjusted bank equals adjusted book</t>
  </si>
  <si>
    <t>Accruals and prepaids: accrued liabilities schedule ties to the adjusted TB</t>
  </si>
  <si>
    <t>Accruals and prepaids: prepaid amortization ties to the adjusted TB</t>
  </si>
  <si>
    <t>Fixed assets: net PP&amp;E ties to the adjusted TB</t>
  </si>
  <si>
    <t>Subledgers: AR aging ties to the AR control account</t>
  </si>
  <si>
    <t>Subledgers: computed allowance (aging buckets by loss rate) ties to the adjusted TB</t>
  </si>
  <si>
    <t>Subledgers: AP subledger ties to the AP control account</t>
  </si>
  <si>
    <t>Statements: balance sheet balances</t>
  </si>
  <si>
    <t>Statements: whole dollar balance sheet balances</t>
  </si>
  <si>
    <t>Adjusted TB ties to the Saltbrush FY2025 model: cash</t>
  </si>
  <si>
    <t>Adjusted TB ties to the Saltbrush FY2025 model: accounts receivable</t>
  </si>
  <si>
    <t>Adjusted TB ties to the Saltbrush FY2025 model: inventory</t>
  </si>
  <si>
    <t>Adjusted TB ties to the Saltbrush FY2025 model: prepaid expenses</t>
  </si>
  <si>
    <t>Adjusted TB ties to the Saltbrush FY2025 model: PP&amp;E net</t>
  </si>
  <si>
    <t>Adjusted TB ties to the Saltbrush FY2025 model: accounts payable</t>
  </si>
  <si>
    <t>Adjusted TB ties to the Saltbrush FY2025 model: accrued liabilities</t>
  </si>
  <si>
    <t>Adjusted TB ties to the Saltbrush FY2025 model: equipment loan</t>
  </si>
  <si>
    <t>Adjusted TB ties to the Saltbrush FY2025 model: revenue</t>
  </si>
  <si>
    <t>Adjusted TB ties to the Saltbrush FY2025 model: depreciation</t>
  </si>
  <si>
    <t>Adjusted TB ties to the Saltbrush FY2025 model: interest expense</t>
  </si>
  <si>
    <t>Adjusted TB ties to the Saltbrush FY2025 model: income tax expense</t>
  </si>
  <si>
    <t>Adjusted TB ties to the Saltbrush FY2025 model: net income</t>
  </si>
  <si>
    <t>Adjusted TB ties to the Saltbrush FY2025 model: retained earnings, ending</t>
  </si>
  <si>
    <t>Adjusted TB ties to the Saltbrush FY2025 model: manufacturing variances</t>
  </si>
  <si>
    <t>JE 01 balances (debits equal credits)</t>
  </si>
  <si>
    <t>JE 02 balances (debits equal credits)</t>
  </si>
  <si>
    <t>JE 03 balances (debits equal credits)</t>
  </si>
  <si>
    <t>JE 04 balances (debits equal credits)</t>
  </si>
  <si>
    <t>JE 05 balances (debits equal credits)</t>
  </si>
  <si>
    <t>JE 06 balances (debits equal credits)</t>
  </si>
  <si>
    <t>JE 07 balances (debits equal credits)</t>
  </si>
  <si>
    <t>JE 08 balances (debits equal credits)</t>
  </si>
  <si>
    <t>JE 09 balances (debits equal credits)</t>
  </si>
  <si>
    <t>JE 10 balances (debits equal credits)</t>
  </si>
  <si>
    <t>JE 11 balances (debits equal credits)</t>
  </si>
  <si>
    <t>JE 12 balances (debits equal credits)</t>
  </si>
  <si>
    <t>JE 13 balances (debits equal credits)</t>
  </si>
  <si>
    <t>JE 14 balances (debits equal credits)</t>
  </si>
  <si>
    <t>Checks passing</t>
  </si>
  <si>
    <t>(whole dollars, except the Statements sheet, which is $ in thousands)  December 2025 close</t>
  </si>
  <si>
    <t>Cutoff (goods received not invoiced)</t>
  </si>
  <si>
    <t>Accruals (payroll, payroll taxes, freight, utilities, interest)</t>
  </si>
  <si>
    <t>Prepaids (insurance amortization)</t>
  </si>
  <si>
    <t>Depreciation (December, by asset class)</t>
  </si>
  <si>
    <t>Inventory count (book versus physical count)</t>
  </si>
  <si>
    <t>Standard cost variances (close out to the income statement)</t>
  </si>
  <si>
    <t>Bank reconciliation</t>
  </si>
  <si>
    <t>Subledger ties (AR aging, AP subledger)</t>
  </si>
  <si>
    <t>Tax provision (December income tax)</t>
  </si>
  <si>
    <t>Review (all close checks read OK)</t>
  </si>
  <si>
    <t>Statements (FY2025 income statement and balance sheet)</t>
  </si>
  <si>
    <t>Close checklist steps</t>
  </si>
  <si>
    <t>Checklist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</si>
</sst>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_);(#,##0);&quot;-&quot;_)"/>
    <numFmt numFmtId="166" formatCode="0.0%"/>
  </numFmts>
  <fonts count="15">
    <font>
      <sz val="11"/>
      <color theme="1"/>
      <name val="Calibri"/>
      <family val="2"/>
      <scheme val="minor"/>
    </font>
    <font>
      <b/>
      <sz val="16"/>
      <color rgb="FF141413"/>
      <name val="Arial"/>
      <family val="2"/>
    </font>
    <font>
      <sz val="10"/>
      <color rgb="FF141413"/>
      <name val="Georgia"/>
      <family val="2"/>
    </font>
    <font>
      <b/>
      <sz val="12"/>
      <color rgb="FF141413"/>
      <name val="Arial"/>
      <family val="2"/>
    </font>
    <font>
      <u/>
      <sz val="11"/>
      <color rgb="FF6A9BCC"/>
      <name val="Georgia"/>
      <family val="2"/>
    </font>
    <font>
      <sz val="10"/>
      <color rgb="FF0000FF"/>
      <name val="Georgia"/>
      <family val="2"/>
    </font>
    <font>
      <sz val="10"/>
      <color rgb="FF008000"/>
      <name val="Georgia"/>
      <family val="2"/>
    </font>
    <font>
      <i/>
      <sz val="9"/>
      <color rgb="FF141413"/>
      <name val="Georgia"/>
      <family val="2"/>
    </font>
    <font>
      <b/>
      <sz val="11"/>
      <color rgb="FFFAF9F5"/>
      <name val="Arial"/>
      <family val="2"/>
    </font>
    <font>
      <sz val="10"/>
      <color rgb="FF141413"/>
      <name val="Georgia"/>
      <family val="2"/>
    </font>
    <font>
      <b/>
      <sz val="10"/>
      <color rgb="FF141413"/>
      <name val="Georgia"/>
      <family val="2"/>
    </font>
    <font>
      <b/>
      <sz val="10"/>
      <color rgb="FF000000"/>
      <name val="Georgia"/>
      <family val="2"/>
    </font>
    <font>
      <sz val="10"/>
      <color rgb="FF000000"/>
      <name val="Georgia"/>
      <family val="2"/>
    </font>
    <font>
      <sz val="10"/>
      <color rgb="FF008000"/>
      <name val="Georgia"/>
      <family val="2"/>
    </font>
    <font>
      <b/>
      <sz val="10"/>
      <color rgb="FF008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3"/>
        <bgColor indexed="64"/>
      </patternFill>
    </fill>
  </fills>
  <borders count="3">
    <border>
      <left/>
      <right/>
      <top/>
      <bottom/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double">
        <color rgb="FFB0AEA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left" indent="1"/>
    </xf>
    <xf numFmtId="0" fontId="10" fillId="0" borderId="1" xfId="0" applyFont="1" applyBorder="1"/>
    <xf numFmtId="0" fontId="10" fillId="0" borderId="2" xfId="0" applyFont="1" applyBorder="1"/>
    <xf numFmtId="164" fontId="11" fillId="0" borderId="2" xfId="0" applyNumberFormat="1" applyFont="1" applyBorder="1"/>
    <xf numFmtId="165" fontId="12" fillId="0" borderId="1" xfId="0" applyNumberFormat="1" applyFont="1" applyBorder="1"/>
    <xf numFmtId="165" fontId="11" fillId="0" borderId="2" xfId="0" applyNumberFormat="1" applyFont="1" applyBorder="1"/>
    <xf numFmtId="164" fontId="12" fillId="0" borderId="1" xfId="0" applyNumberFormat="1" applyFont="1" applyBorder="1"/>
    <xf numFmtId="165" fontId="13" fillId="0" borderId="1" xfId="0" applyNumberFormat="1" applyFont="1" applyBorder="1"/>
    <xf numFmtId="165" fontId="14" fillId="0" borderId="2" xfId="0" applyNumberFormat="1" applyFont="1" applyBorder="1"/>
    <xf numFmtId="165" fontId="11" fillId="0" borderId="1" xfId="0" applyNumberFormat="1" applyFont="1" applyBorder="1"/>
    <xf numFmtId="166" fontId="1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32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2" spans="1:1">
      <c r="A2" s="1" t="s">
        <v>0</v>
      </c>
    </row>
    <row r="4" spans="1:1">
      <c r="A4" s="2" t="s">
        <v>1</v>
      </c>
    </row>
    <row r="6" spans="1:1">
      <c r="A6" s="2" t="s">
        <v>2</v>
      </c>
    </row>
    <row r="8" spans="1:1">
      <c r="A8" s="2" t="s">
        <v>3</v>
      </c>
    </row>
    <row r="9" spans="1:1">
      <c r="A9" s="2" t="s">
        <v>4</v>
      </c>
    </row>
    <row r="10" spans="1:1">
      <c r="A10" s="2" t="s">
        <v>5</v>
      </c>
    </row>
    <row r="12" spans="1:1">
      <c r="A12" s="2" t="s">
        <v>6</v>
      </c>
    </row>
    <row r="13" spans="1:1">
      <c r="A13" s="2" t="s">
        <v>7</v>
      </c>
    </row>
    <row r="15" spans="1:1">
      <c r="A15" s="3" t="s">
        <v>8</v>
      </c>
    </row>
    <row r="16" spans="1:1">
      <c r="A16" s="4" t="s">
        <v>9</v>
      </c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4" spans="1:1">
      <c r="A24" s="4" t="s">
        <v>17</v>
      </c>
    </row>
    <row r="25" spans="1:1">
      <c r="A25" s="4" t="s">
        <v>18</v>
      </c>
    </row>
    <row r="26" spans="1:1">
      <c r="A26" s="4" t="s">
        <v>19</v>
      </c>
    </row>
    <row r="27" spans="1:1">
      <c r="A27" s="4" t="s">
        <v>20</v>
      </c>
    </row>
    <row r="29" spans="1:1">
      <c r="A29" s="3" t="s">
        <v>21</v>
      </c>
    </row>
    <row r="30" spans="1:1">
      <c r="A30" s="5" t="s">
        <v>22</v>
      </c>
    </row>
    <row r="31" spans="1:1">
      <c r="A31" s="2" t="s">
        <v>23</v>
      </c>
    </row>
    <row r="32" spans="1:1">
      <c r="A32" s="6" t="s">
        <v>24</v>
      </c>
    </row>
  </sheetData>
  <hyperlinks>
    <hyperlink ref="A16" location="'Cover'!A1" display="Cover"/>
    <hyperlink ref="A17" location="'Close Checklist'!A1" display="Close Checklist"/>
    <hyperlink ref="A18" location="'Unadjusted TB'!A1" display="Unadjusted TB"/>
    <hyperlink ref="A19" location="'Adjusting Entries'!A1" display="Adjusting Entries"/>
    <hyperlink ref="A20" location="'Accruals and Prepaids'!A1" display="Accruals and Prepaids"/>
    <hyperlink ref="A21" location="'Fixed Assets'!A1" display="Fixed Assets"/>
    <hyperlink ref="A22" location="'Inventory'!A1" display="Inventory"/>
    <hyperlink ref="A23" location="'Bank Reconciliation'!A1" display="Bank Reconciliation"/>
    <hyperlink ref="A24" location="'Subledgers'!A1" display="Subledgers"/>
    <hyperlink ref="A25" location="'Adjusted TB'!A1" display="Adjusted TB"/>
    <hyperlink ref="A26" location="'Statements'!A1" display="Statements"/>
    <hyperlink ref="A27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</row>
    <row r="2" spans="1:3">
      <c r="A2" s="3" t="s">
        <v>10</v>
      </c>
    </row>
    <row r="3" spans="1:3">
      <c r="A3" s="7" t="s">
        <v>263</v>
      </c>
    </row>
    <row r="5" spans="1:3">
      <c r="A5" s="8"/>
      <c r="B5" s="8" t="s">
        <v>31</v>
      </c>
      <c r="C5" s="8" t="s">
        <v>216</v>
      </c>
    </row>
    <row r="6" spans="1:3">
      <c r="A6" s="9" t="s">
        <v>264</v>
      </c>
      <c r="B6" s="10" t="s">
        <v>15</v>
      </c>
      <c r="C6" s="11" t="str">
        <f>IF(ABS('Inventory'!B12)&lt;0.5,"Done","Open")</f>
        <v>Done</v>
      </c>
    </row>
    <row r="7" spans="1:3">
      <c r="A7" s="9" t="s">
        <v>265</v>
      </c>
      <c r="B7" s="10" t="s">
        <v>13</v>
      </c>
      <c r="C7" s="11" t="str">
        <f>IF(ABS('Accruals and Prepaids'!B16)&lt;0.5,"Done","Open")</f>
        <v>Done</v>
      </c>
    </row>
    <row r="8" spans="1:3">
      <c r="A8" s="9" t="s">
        <v>266</v>
      </c>
      <c r="B8" s="10" t="s">
        <v>13</v>
      </c>
      <c r="C8" s="11" t="str">
        <f>IF(ABS('Accruals and Prepaids'!D22)&lt;0.5,"Done","Open")</f>
        <v>Done</v>
      </c>
    </row>
    <row r="9" spans="1:3">
      <c r="A9" s="9" t="s">
        <v>267</v>
      </c>
      <c r="B9" s="10" t="s">
        <v>14</v>
      </c>
      <c r="C9" s="11" t="str">
        <f>IF(ABS('Fixed Assets'!B11)&lt;0.5,"Done","Open")</f>
        <v>Done</v>
      </c>
    </row>
    <row r="10" spans="1:3">
      <c r="A10" s="9" t="s">
        <v>268</v>
      </c>
      <c r="B10" s="10" t="s">
        <v>15</v>
      </c>
      <c r="C10" s="11" t="str">
        <f>IF(ABS('Inventory'!B12)&lt;0.5,"Done","Open")</f>
        <v>Done</v>
      </c>
    </row>
    <row r="11" spans="1:3">
      <c r="A11" s="9" t="s">
        <v>269</v>
      </c>
      <c r="B11" s="10" t="s">
        <v>15</v>
      </c>
      <c r="C11" s="11" t="str">
        <f>IF(ABS('Inventory'!B18)&lt;0.5,"Done","Open")</f>
        <v>Done</v>
      </c>
    </row>
    <row r="12" spans="1:3">
      <c r="A12" s="9" t="s">
        <v>270</v>
      </c>
      <c r="B12" s="10" t="s">
        <v>16</v>
      </c>
      <c r="C12" s="11" t="str">
        <f>IF(ABS('Bank Reconciliation'!B13)&lt;0.5,"Done","Open")</f>
        <v>Done</v>
      </c>
    </row>
    <row r="13" spans="1:3">
      <c r="A13" s="9" t="s">
        <v>271</v>
      </c>
      <c r="B13" s="10" t="s">
        <v>17</v>
      </c>
      <c r="C13" s="11" t="str">
        <f>IF(ABS(('Subledgers'!B24+'Subledgers'!B34))&lt;0.5,"Done","Open")</f>
        <v>Done</v>
      </c>
    </row>
    <row r="14" spans="1:3">
      <c r="A14" s="9" t="s">
        <v>272</v>
      </c>
      <c r="B14" s="10" t="s">
        <v>18</v>
      </c>
      <c r="C14" s="11" t="str">
        <f>IF(ABS(('Adjusted TB'!F36-1198000))&lt;0.5,"Done","Open")</f>
        <v>Done</v>
      </c>
    </row>
    <row r="15" spans="1:3">
      <c r="A15" s="9" t="s">
        <v>273</v>
      </c>
      <c r="B15" s="10" t="s">
        <v>20</v>
      </c>
      <c r="C15" s="11" t="str">
        <f>IF('Checks'!B3="ALL OK","Done","Open")</f>
        <v>Done</v>
      </c>
    </row>
    <row r="16" spans="1:3">
      <c r="A16" s="9" t="s">
        <v>274</v>
      </c>
      <c r="B16" s="10" t="s">
        <v>19</v>
      </c>
      <c r="C16" s="11" t="str">
        <f>IF(ABS(('Statements'!B29-'Statements'!B39))&lt;0.5,"Done","Open")</f>
        <v>Done</v>
      </c>
    </row>
    <row r="17" spans="1:3">
      <c r="A17" s="12" t="s">
        <v>262</v>
      </c>
      <c r="B17" s="10" t="s">
        <v>20</v>
      </c>
      <c r="C17" s="13">
        <f>45</f>
        <v>45.0</v>
      </c>
    </row>
    <row r="18" spans="1:3">
      <c r="A18" s="12" t="s">
        <v>275</v>
      </c>
      <c r="B18" s="10" t="s">
        <v>276</v>
      </c>
      <c r="C18" s="13">
        <f>11</f>
        <v>11.0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</row>
    <row r="2" spans="1:3">
      <c r="A2" s="3" t="s">
        <v>84</v>
      </c>
    </row>
    <row r="3" spans="1:3">
      <c r="A3" s="7" t="s">
        <v>85</v>
      </c>
    </row>
    <row r="5" spans="1:3">
      <c r="A5" s="8"/>
      <c r="B5" s="8" t="s">
        <v>28</v>
      </c>
      <c r="C5" s="8" t="s">
        <v>29</v>
      </c>
    </row>
    <row r="6" spans="1:3">
      <c r="A6" s="9" t="s">
        <v>63</v>
      </c>
      <c r="B6" s="14">
        <f>2529245</f>
        <v>2529245.0</v>
      </c>
      <c r="C6" s="14">
        <f>0</f>
        <v>0.0</v>
      </c>
    </row>
    <row r="7" spans="1:3">
      <c r="A7" s="9" t="s">
        <v>86</v>
      </c>
      <c r="B7" s="14">
        <f>7683176.422431437</f>
        <v>7683176.422431437</v>
      </c>
      <c r="C7" s="14">
        <f>0</f>
        <v>0.0</v>
      </c>
    </row>
    <row r="8" spans="1:3">
      <c r="A8" s="9" t="s">
        <v>70</v>
      </c>
      <c r="B8" s="14">
        <f>0</f>
        <v>0.0</v>
      </c>
      <c r="C8" s="14">
        <f>153176.4224314368</f>
        <v>153176.42243143683</v>
      </c>
    </row>
    <row r="9" spans="1:3">
      <c r="A9" s="9" t="s">
        <v>15</v>
      </c>
      <c r="B9" s="14">
        <f>6843000</f>
        <v>6843000.0</v>
      </c>
      <c r="C9" s="14">
        <f>0</f>
        <v>0.0</v>
      </c>
    </row>
    <row r="10" spans="1:3">
      <c r="A10" s="9" t="s">
        <v>50</v>
      </c>
      <c r="B10" s="14">
        <f>786000</f>
        <v>786000.0</v>
      </c>
      <c r="C10" s="14">
        <f>0</f>
        <v>0.0</v>
      </c>
    </row>
    <row r="11" spans="1:3">
      <c r="A11" s="9" t="s">
        <v>60</v>
      </c>
      <c r="B11" s="14">
        <f>190333.3333333333</f>
        <v>190333.33333333334</v>
      </c>
      <c r="C11" s="14">
        <f>0</f>
        <v>0.0</v>
      </c>
    </row>
    <row r="12" spans="1:3">
      <c r="A12" s="9" t="s">
        <v>87</v>
      </c>
      <c r="B12" s="14">
        <f>40300000</f>
        <v>40300000.0</v>
      </c>
      <c r="C12" s="14">
        <f>0</f>
        <v>0.0</v>
      </c>
    </row>
    <row r="13" spans="1:3">
      <c r="A13" s="9" t="s">
        <v>54</v>
      </c>
      <c r="B13" s="14">
        <f>0</f>
        <v>0.0</v>
      </c>
      <c r="C13" s="14">
        <f>19817250</f>
        <v>19817250.0</v>
      </c>
    </row>
    <row r="14" spans="1:3">
      <c r="A14" s="9" t="s">
        <v>77</v>
      </c>
      <c r="B14" s="14">
        <f>0</f>
        <v>0.0</v>
      </c>
      <c r="C14" s="14">
        <f>5519000</f>
        <v>5519000.0</v>
      </c>
    </row>
    <row r="15" spans="1:3">
      <c r="A15" s="9" t="s">
        <v>37</v>
      </c>
      <c r="B15" s="14">
        <f>0</f>
        <v>0.0</v>
      </c>
      <c r="C15" s="14">
        <f>0</f>
        <v>0.0</v>
      </c>
    </row>
    <row r="16" spans="1:3">
      <c r="A16" s="9" t="s">
        <v>40</v>
      </c>
      <c r="B16" s="14">
        <f>0</f>
        <v>0.0</v>
      </c>
      <c r="C16" s="14">
        <f>0</f>
        <v>0.0</v>
      </c>
    </row>
    <row r="17" spans="1:3">
      <c r="A17" s="9" t="s">
        <v>44</v>
      </c>
      <c r="B17" s="14">
        <f>0</f>
        <v>0.0</v>
      </c>
      <c r="C17" s="14">
        <f>0</f>
        <v>0.0</v>
      </c>
    </row>
    <row r="18" spans="1:3">
      <c r="A18" s="9" t="s">
        <v>47</v>
      </c>
      <c r="B18" s="14">
        <f>0</f>
        <v>0.0</v>
      </c>
      <c r="C18" s="14">
        <f>0</f>
        <v>0.0</v>
      </c>
    </row>
    <row r="19" spans="1:3">
      <c r="A19" s="9" t="s">
        <v>67</v>
      </c>
      <c r="B19" s="14">
        <f>0</f>
        <v>0.0</v>
      </c>
      <c r="C19" s="14">
        <f>0</f>
        <v>0.0</v>
      </c>
    </row>
    <row r="20" spans="1:3">
      <c r="A20" s="9" t="s">
        <v>74</v>
      </c>
      <c r="B20" s="14">
        <f>0</f>
        <v>0.0</v>
      </c>
      <c r="C20" s="14">
        <f>400000</f>
        <v>400000.0</v>
      </c>
    </row>
    <row r="21" spans="1:3">
      <c r="A21" s="9" t="s">
        <v>80</v>
      </c>
      <c r="B21" s="14">
        <f>0</f>
        <v>0.0</v>
      </c>
      <c r="C21" s="14">
        <f>1100000</f>
        <v>1100000.0</v>
      </c>
    </row>
    <row r="22" spans="1:3">
      <c r="A22" s="9" t="s">
        <v>88</v>
      </c>
      <c r="B22" s="14">
        <f>0</f>
        <v>0.0</v>
      </c>
      <c r="C22" s="14">
        <f>600000</f>
        <v>600000.0</v>
      </c>
    </row>
    <row r="23" spans="1:3">
      <c r="A23" s="9" t="s">
        <v>89</v>
      </c>
      <c r="B23" s="14">
        <f>0</f>
        <v>0.0</v>
      </c>
      <c r="C23" s="14">
        <f>387500.1737156371</f>
        <v>387500.17371563707</v>
      </c>
    </row>
    <row r="24" spans="1:3">
      <c r="A24" s="9" t="s">
        <v>90</v>
      </c>
      <c r="B24" s="14">
        <f>0</f>
        <v>0.0</v>
      </c>
      <c r="C24" s="14">
        <f>0</f>
        <v>0.0</v>
      </c>
    </row>
    <row r="25" spans="1:3">
      <c r="A25" s="9" t="s">
        <v>91</v>
      </c>
      <c r="B25" s="14">
        <f>0</f>
        <v>0.0</v>
      </c>
      <c r="C25" s="14">
        <f>4500000</f>
        <v>4500000.0</v>
      </c>
    </row>
    <row r="26" spans="1:3">
      <c r="A26" s="9" t="s">
        <v>92</v>
      </c>
      <c r="B26" s="14">
        <f>0</f>
        <v>0.0</v>
      </c>
      <c r="C26" s="14">
        <f>6000000</f>
        <v>6000000.0</v>
      </c>
    </row>
    <row r="27" spans="1:3">
      <c r="A27" s="9" t="s">
        <v>93</v>
      </c>
      <c r="B27" s="14">
        <f>0</f>
        <v>0.0</v>
      </c>
      <c r="C27" s="14">
        <f>15368000</f>
        <v>15368000.0</v>
      </c>
    </row>
    <row r="28" spans="1:3">
      <c r="A28" s="9" t="s">
        <v>94</v>
      </c>
      <c r="B28" s="14">
        <f>0</f>
        <v>0.0</v>
      </c>
      <c r="C28" s="14">
        <f>72116000</f>
        <v>72116000.0</v>
      </c>
    </row>
    <row r="29" spans="1:3">
      <c r="A29" s="9" t="s">
        <v>33</v>
      </c>
      <c r="B29" s="14">
        <f>44073615.01504137</f>
        <v>44073615.01504137</v>
      </c>
      <c r="C29" s="14">
        <f>0</f>
        <v>0.0</v>
      </c>
    </row>
    <row r="30" spans="1:3">
      <c r="A30" s="9" t="s">
        <v>58</v>
      </c>
      <c r="B30" s="14">
        <f>2093666.6666666667</f>
        <v>2093666.6666666667</v>
      </c>
      <c r="C30" s="14">
        <f>0</f>
        <v>0.0</v>
      </c>
    </row>
    <row r="31" spans="1:3">
      <c r="A31" s="9" t="s">
        <v>42</v>
      </c>
      <c r="B31" s="14">
        <f>8354000</f>
        <v>8354000.0</v>
      </c>
      <c r="C31" s="14">
        <f>0</f>
        <v>0.0</v>
      </c>
    </row>
    <row r="32" spans="1:3">
      <c r="A32" s="9" t="s">
        <v>95</v>
      </c>
      <c r="B32" s="14">
        <f>4688000</f>
        <v>4688000.0</v>
      </c>
      <c r="C32" s="14">
        <f>0</f>
        <v>0.0</v>
      </c>
    </row>
    <row r="33" spans="1:3">
      <c r="A33" s="9" t="s">
        <v>36</v>
      </c>
      <c r="B33" s="14">
        <f>4690426.056387194</f>
        <v>4690426.056387194</v>
      </c>
      <c r="C33" s="14">
        <f>0</f>
        <v>0.0</v>
      </c>
    </row>
    <row r="34" spans="1:3">
      <c r="A34" s="9" t="s">
        <v>52</v>
      </c>
      <c r="B34" s="14">
        <f>1845250</f>
        <v>1845250.0</v>
      </c>
      <c r="C34" s="14">
        <f>0</f>
        <v>0.0</v>
      </c>
    </row>
    <row r="35" spans="1:3">
      <c r="A35" s="9" t="s">
        <v>65</v>
      </c>
      <c r="B35" s="14">
        <f>388687.5</f>
        <v>388687.5</v>
      </c>
      <c r="C35" s="14">
        <f>0</f>
        <v>0.0</v>
      </c>
    </row>
    <row r="36" spans="1:3">
      <c r="A36" s="9" t="s">
        <v>72</v>
      </c>
      <c r="B36" s="14">
        <f>1495526.6022870655</f>
        <v>1495526.6022870655</v>
      </c>
      <c r="C36" s="14">
        <f>0</f>
        <v>0.0</v>
      </c>
    </row>
    <row r="37" spans="1:3">
      <c r="A37" s="12" t="s">
        <v>96</v>
      </c>
      <c r="B37" s="15">
        <f>(B6+B7+B8+B9+B10+B11+B12+B13+B14+B15+B16+B17+B18+B19+B20+B21+B22+B23+B24+B25+B26+B27+B28+B29+B30+B31+B32+B33+B34+B35+B36)</f>
        <v>125960926.59614708</v>
      </c>
      <c r="C37" s="15">
        <f>(C6+C7+C8+C9+C10+C11+C12+C13+C14+C15+C16+C17+C18+C19+C20+C21+C22+C23+C24+C25+C26+C27+C28+C29+C30+C31+C32+C33+C34+C35+C36)</f>
        <v>125960926.59614708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</row>
    <row r="2" spans="1:7">
      <c r="A2" s="3" t="s">
        <v>12</v>
      </c>
    </row>
    <row r="3" spans="1:7">
      <c r="A3" s="7" t="s">
        <v>25</v>
      </c>
    </row>
    <row r="5" spans="1:7">
      <c r="A5" s="8"/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</row>
    <row r="6" spans="1:7">
      <c r="A6" s="11" t="s">
        <v>32</v>
      </c>
      <c r="B6" s="9"/>
      <c r="C6" s="9"/>
      <c r="D6" s="9"/>
      <c r="E6" s="9"/>
      <c r="F6" s="9"/>
      <c r="G6" s="9"/>
    </row>
    <row r="7" spans="1:7">
      <c r="A7" s="9" t="s">
        <v>33</v>
      </c>
      <c r="B7" s="16">
        <f>1</f>
        <v>1.0</v>
      </c>
      <c r="C7" s="10" t="s">
        <v>34</v>
      </c>
      <c r="D7" s="14">
        <f>92322.3269471652</f>
        <v>92322.32694716525</v>
      </c>
      <c r="E7" s="14">
        <f>0</f>
        <v>0.0</v>
      </c>
      <c r="F7" s="10" t="s">
        <v>35</v>
      </c>
      <c r="G7" s="10" t="s">
        <v>13</v>
      </c>
    </row>
    <row r="8" spans="1:7">
      <c r="A8" s="9" t="s">
        <v>36</v>
      </c>
      <c r="B8" s="16">
        <f>1</f>
        <v>1.0</v>
      </c>
      <c r="C8" s="10" t="s">
        <v>34</v>
      </c>
      <c r="D8" s="14">
        <f>38391.9587671205</f>
        <v>38391.958767120464</v>
      </c>
      <c r="E8" s="14">
        <f>0</f>
        <v>0.0</v>
      </c>
      <c r="F8" s="10" t="s">
        <v>35</v>
      </c>
      <c r="G8" s="10" t="s">
        <v>13</v>
      </c>
    </row>
    <row r="9" spans="1:7">
      <c r="A9" s="9" t="s">
        <v>37</v>
      </c>
      <c r="B9" s="16">
        <f>1</f>
        <v>1.0</v>
      </c>
      <c r="C9" s="10" t="s">
        <v>34</v>
      </c>
      <c r="D9" s="14">
        <f>0</f>
        <v>0.0</v>
      </c>
      <c r="E9" s="14">
        <f>130714.2857142857</f>
        <v>130714.28571428571</v>
      </c>
      <c r="F9" s="10" t="s">
        <v>35</v>
      </c>
      <c r="G9" s="10" t="s">
        <v>13</v>
      </c>
    </row>
    <row r="10" spans="1:7">
      <c r="A10" s="11" t="s">
        <v>38</v>
      </c>
      <c r="B10" s="9"/>
      <c r="C10" s="9"/>
      <c r="D10" s="9"/>
      <c r="E10" s="9"/>
      <c r="F10" s="9"/>
      <c r="G10" s="9"/>
    </row>
    <row r="11" spans="1:7">
      <c r="A11" s="9" t="s">
        <v>33</v>
      </c>
      <c r="B11" s="16">
        <f>2</f>
        <v>2.0</v>
      </c>
      <c r="C11" s="10" t="s">
        <v>34</v>
      </c>
      <c r="D11" s="14">
        <f>7062.6580114581</f>
        <v>7062.658011458141</v>
      </c>
      <c r="E11" s="14">
        <f>0</f>
        <v>0.0</v>
      </c>
      <c r="F11" s="10" t="s">
        <v>39</v>
      </c>
      <c r="G11" s="10" t="s">
        <v>13</v>
      </c>
    </row>
    <row r="12" spans="1:7">
      <c r="A12" s="9" t="s">
        <v>36</v>
      </c>
      <c r="B12" s="16">
        <f>2</f>
        <v>2.0</v>
      </c>
      <c r="C12" s="10" t="s">
        <v>34</v>
      </c>
      <c r="D12" s="14">
        <f>2936.9848456847</f>
        <v>2936.9848456847158</v>
      </c>
      <c r="E12" s="14">
        <f>0</f>
        <v>0.0</v>
      </c>
      <c r="F12" s="10" t="s">
        <v>39</v>
      </c>
      <c r="G12" s="10" t="s">
        <v>13</v>
      </c>
    </row>
    <row r="13" spans="1:7">
      <c r="A13" s="9" t="s">
        <v>40</v>
      </c>
      <c r="B13" s="16">
        <f>2</f>
        <v>2.0</v>
      </c>
      <c r="C13" s="10" t="s">
        <v>34</v>
      </c>
      <c r="D13" s="14">
        <f>0</f>
        <v>0.0</v>
      </c>
      <c r="E13" s="14">
        <f>9999.6428571429</f>
        <v>9999.642857142857</v>
      </c>
      <c r="F13" s="10" t="s">
        <v>39</v>
      </c>
      <c r="G13" s="10" t="s">
        <v>13</v>
      </c>
    </row>
    <row r="14" spans="1:7">
      <c r="A14" s="11" t="s">
        <v>41</v>
      </c>
      <c r="B14" s="9"/>
      <c r="C14" s="9"/>
      <c r="D14" s="9"/>
      <c r="E14" s="9"/>
      <c r="F14" s="9"/>
      <c r="G14" s="9"/>
    </row>
    <row r="15" spans="1:7">
      <c r="A15" s="9" t="s">
        <v>42</v>
      </c>
      <c r="B15" s="16">
        <f>3</f>
        <v>3.0</v>
      </c>
      <c r="C15" s="10" t="s">
        <v>34</v>
      </c>
      <c r="D15" s="14">
        <f>300000</f>
        <v>300000.0</v>
      </c>
      <c r="E15" s="14">
        <f>0</f>
        <v>0.0</v>
      </c>
      <c r="F15" s="10" t="s">
        <v>43</v>
      </c>
      <c r="G15" s="10" t="s">
        <v>13</v>
      </c>
    </row>
    <row r="16" spans="1:7">
      <c r="A16" s="9" t="s">
        <v>44</v>
      </c>
      <c r="B16" s="16">
        <f>3</f>
        <v>3.0</v>
      </c>
      <c r="C16" s="10" t="s">
        <v>34</v>
      </c>
      <c r="D16" s="14">
        <f>0</f>
        <v>0.0</v>
      </c>
      <c r="E16" s="14">
        <f>300000</f>
        <v>300000.0</v>
      </c>
      <c r="F16" s="10" t="s">
        <v>43</v>
      </c>
      <c r="G16" s="10" t="s">
        <v>13</v>
      </c>
    </row>
    <row r="17" spans="1:7">
      <c r="A17" s="11" t="s">
        <v>45</v>
      </c>
      <c r="B17" s="9"/>
      <c r="C17" s="9"/>
      <c r="D17" s="9"/>
      <c r="E17" s="9"/>
      <c r="F17" s="9"/>
      <c r="G17" s="9"/>
    </row>
    <row r="18" spans="1:7">
      <c r="A18" s="9" t="s">
        <v>36</v>
      </c>
      <c r="B18" s="16">
        <f>4</f>
        <v>4.0</v>
      </c>
      <c r="C18" s="10" t="s">
        <v>34</v>
      </c>
      <c r="D18" s="14">
        <f>129000</f>
        <v>129000.0</v>
      </c>
      <c r="E18" s="14">
        <f>0</f>
        <v>0.0</v>
      </c>
      <c r="F18" s="10" t="s">
        <v>46</v>
      </c>
      <c r="G18" s="10" t="s">
        <v>13</v>
      </c>
    </row>
    <row r="19" spans="1:7">
      <c r="A19" s="9" t="s">
        <v>47</v>
      </c>
      <c r="B19" s="16">
        <f>4</f>
        <v>4.0</v>
      </c>
      <c r="C19" s="10" t="s">
        <v>34</v>
      </c>
      <c r="D19" s="14">
        <f>0</f>
        <v>0.0</v>
      </c>
      <c r="E19" s="14">
        <f>129000</f>
        <v>129000.0</v>
      </c>
      <c r="F19" s="10" t="s">
        <v>46</v>
      </c>
      <c r="G19" s="10" t="s">
        <v>13</v>
      </c>
    </row>
    <row r="20" spans="1:7">
      <c r="A20" s="11" t="s">
        <v>48</v>
      </c>
      <c r="B20" s="9"/>
      <c r="C20" s="9"/>
      <c r="D20" s="9"/>
      <c r="E20" s="9"/>
      <c r="F20" s="9"/>
      <c r="G20" s="9"/>
    </row>
    <row r="21" spans="1:7">
      <c r="A21" s="9" t="s">
        <v>36</v>
      </c>
      <c r="B21" s="16">
        <f>5</f>
        <v>5.0</v>
      </c>
      <c r="C21" s="10" t="s">
        <v>34</v>
      </c>
      <c r="D21" s="14">
        <f>65000</f>
        <v>65000.0</v>
      </c>
      <c r="E21" s="14">
        <f>0</f>
        <v>0.0</v>
      </c>
      <c r="F21" s="10" t="s">
        <v>49</v>
      </c>
      <c r="G21" s="10" t="s">
        <v>13</v>
      </c>
    </row>
    <row r="22" spans="1:7">
      <c r="A22" s="9" t="s">
        <v>50</v>
      </c>
      <c r="B22" s="16">
        <f>5</f>
        <v>5.0</v>
      </c>
      <c r="C22" s="10" t="s">
        <v>34</v>
      </c>
      <c r="D22" s="14">
        <f>0</f>
        <v>0.0</v>
      </c>
      <c r="E22" s="14">
        <f>65000</f>
        <v>65000.0</v>
      </c>
      <c r="F22" s="10" t="s">
        <v>49</v>
      </c>
      <c r="G22" s="10" t="s">
        <v>13</v>
      </c>
    </row>
    <row r="23" spans="1:7">
      <c r="A23" s="11" t="s">
        <v>51</v>
      </c>
      <c r="B23" s="9"/>
      <c r="C23" s="9"/>
      <c r="D23" s="9"/>
      <c r="E23" s="9"/>
      <c r="F23" s="9"/>
      <c r="G23" s="9"/>
    </row>
    <row r="24" spans="1:7">
      <c r="A24" s="9" t="s">
        <v>52</v>
      </c>
      <c r="B24" s="16">
        <f>6</f>
        <v>6.0</v>
      </c>
      <c r="C24" s="10" t="s">
        <v>34</v>
      </c>
      <c r="D24" s="14">
        <f>167750</f>
        <v>167750.0</v>
      </c>
      <c r="E24" s="14">
        <f>0</f>
        <v>0.0</v>
      </c>
      <c r="F24" s="10" t="s">
        <v>53</v>
      </c>
      <c r="G24" s="10" t="s">
        <v>14</v>
      </c>
    </row>
    <row r="25" spans="1:7">
      <c r="A25" s="9" t="s">
        <v>54</v>
      </c>
      <c r="B25" s="16">
        <f>6</f>
        <v>6.0</v>
      </c>
      <c r="C25" s="10" t="s">
        <v>34</v>
      </c>
      <c r="D25" s="14">
        <f>0</f>
        <v>0.0</v>
      </c>
      <c r="E25" s="14">
        <f>167750</f>
        <v>167750.0</v>
      </c>
      <c r="F25" s="10" t="s">
        <v>53</v>
      </c>
      <c r="G25" s="10" t="s">
        <v>14</v>
      </c>
    </row>
    <row r="26" spans="1:7">
      <c r="A26" s="11" t="s">
        <v>55</v>
      </c>
      <c r="B26" s="9"/>
      <c r="C26" s="9"/>
      <c r="D26" s="9"/>
      <c r="E26" s="9"/>
      <c r="F26" s="9"/>
      <c r="G26" s="9"/>
    </row>
    <row r="27" spans="1:7">
      <c r="A27" s="9" t="s">
        <v>33</v>
      </c>
      <c r="B27" s="16">
        <f>7</f>
        <v>7.0</v>
      </c>
      <c r="C27" s="10" t="s">
        <v>34</v>
      </c>
      <c r="D27" s="14">
        <f>50000</f>
        <v>50000.0</v>
      </c>
      <c r="E27" s="14">
        <f>0</f>
        <v>0.0</v>
      </c>
      <c r="F27" s="10" t="s">
        <v>56</v>
      </c>
      <c r="G27" s="10" t="s">
        <v>15</v>
      </c>
    </row>
    <row r="28" spans="1:7">
      <c r="A28" s="9" t="s">
        <v>15</v>
      </c>
      <c r="B28" s="16">
        <f>7</f>
        <v>7.0</v>
      </c>
      <c r="C28" s="10" t="s">
        <v>34</v>
      </c>
      <c r="D28" s="14">
        <f>0</f>
        <v>0.0</v>
      </c>
      <c r="E28" s="14">
        <f>50000</f>
        <v>50000.0</v>
      </c>
      <c r="F28" s="10" t="s">
        <v>56</v>
      </c>
      <c r="G28" s="10" t="s">
        <v>15</v>
      </c>
    </row>
    <row r="29" spans="1:7">
      <c r="A29" s="11" t="s">
        <v>57</v>
      </c>
      <c r="B29" s="9"/>
      <c r="C29" s="9"/>
      <c r="D29" s="9"/>
      <c r="E29" s="9"/>
      <c r="F29" s="9"/>
      <c r="G29" s="9"/>
    </row>
    <row r="30" spans="1:7">
      <c r="A30" s="9" t="s">
        <v>58</v>
      </c>
      <c r="B30" s="16">
        <f>8</f>
        <v>8.0</v>
      </c>
      <c r="C30" s="10" t="s">
        <v>34</v>
      </c>
      <c r="D30" s="14">
        <f>190333.3333333333</f>
        <v>190333.33333333334</v>
      </c>
      <c r="E30" s="14">
        <f>0</f>
        <v>0.0</v>
      </c>
      <c r="F30" s="10" t="s">
        <v>59</v>
      </c>
      <c r="G30" s="10" t="s">
        <v>15</v>
      </c>
    </row>
    <row r="31" spans="1:7">
      <c r="A31" s="9" t="s">
        <v>60</v>
      </c>
      <c r="B31" s="16">
        <f>8</f>
        <v>8.0</v>
      </c>
      <c r="C31" s="10" t="s">
        <v>34</v>
      </c>
      <c r="D31" s="14">
        <f>0</f>
        <v>0.0</v>
      </c>
      <c r="E31" s="14">
        <f>190333.3333333333</f>
        <v>190333.33333333334</v>
      </c>
      <c r="F31" s="10" t="s">
        <v>59</v>
      </c>
      <c r="G31" s="10" t="s">
        <v>15</v>
      </c>
    </row>
    <row r="32" spans="1:7">
      <c r="A32" s="11" t="s">
        <v>61</v>
      </c>
      <c r="B32" s="9"/>
      <c r="C32" s="9"/>
      <c r="D32" s="9"/>
      <c r="E32" s="9"/>
      <c r="F32" s="9"/>
      <c r="G32" s="9"/>
    </row>
    <row r="33" spans="1:7">
      <c r="A33" s="9" t="s">
        <v>36</v>
      </c>
      <c r="B33" s="16">
        <f>9</f>
        <v>9.0</v>
      </c>
      <c r="C33" s="10" t="s">
        <v>34</v>
      </c>
      <c r="D33" s="14">
        <f>245</f>
        <v>245.0</v>
      </c>
      <c r="E33" s="14">
        <f>0</f>
        <v>0.0</v>
      </c>
      <c r="F33" s="10" t="s">
        <v>62</v>
      </c>
      <c r="G33" s="10" t="s">
        <v>16</v>
      </c>
    </row>
    <row r="34" spans="1:7">
      <c r="A34" s="9" t="s">
        <v>63</v>
      </c>
      <c r="B34" s="16">
        <f>9</f>
        <v>9.0</v>
      </c>
      <c r="C34" s="10" t="s">
        <v>34</v>
      </c>
      <c r="D34" s="14">
        <f>0</f>
        <v>0.0</v>
      </c>
      <c r="E34" s="14">
        <f>245</f>
        <v>245.0</v>
      </c>
      <c r="F34" s="10" t="s">
        <v>62</v>
      </c>
      <c r="G34" s="10" t="s">
        <v>16</v>
      </c>
    </row>
    <row r="35" spans="1:7">
      <c r="A35" s="11" t="s">
        <v>64</v>
      </c>
      <c r="B35" s="9"/>
      <c r="C35" s="9"/>
      <c r="D35" s="9"/>
      <c r="E35" s="9"/>
      <c r="F35" s="9"/>
      <c r="G35" s="9"/>
    </row>
    <row r="36" spans="1:7">
      <c r="A36" s="9" t="s">
        <v>65</v>
      </c>
      <c r="B36" s="16">
        <f>10</f>
        <v>10.0</v>
      </c>
      <c r="C36" s="10" t="s">
        <v>34</v>
      </c>
      <c r="D36" s="14">
        <f>25312.5</f>
        <v>25312.5</v>
      </c>
      <c r="E36" s="14">
        <f>0</f>
        <v>0.0</v>
      </c>
      <c r="F36" s="10" t="s">
        <v>66</v>
      </c>
      <c r="G36" s="10" t="s">
        <v>13</v>
      </c>
    </row>
    <row r="37" spans="1:7">
      <c r="A37" s="9" t="s">
        <v>67</v>
      </c>
      <c r="B37" s="16">
        <f>10</f>
        <v>10.0</v>
      </c>
      <c r="C37" s="10" t="s">
        <v>34</v>
      </c>
      <c r="D37" s="14">
        <f>0</f>
        <v>0.0</v>
      </c>
      <c r="E37" s="14">
        <f>25312.5</f>
        <v>25312.5</v>
      </c>
      <c r="F37" s="10" t="s">
        <v>66</v>
      </c>
      <c r="G37" s="10" t="s">
        <v>13</v>
      </c>
    </row>
    <row r="38" spans="1:7">
      <c r="A38" s="11" t="s">
        <v>68</v>
      </c>
      <c r="B38" s="9"/>
      <c r="C38" s="9"/>
      <c r="D38" s="9"/>
      <c r="E38" s="9"/>
      <c r="F38" s="9"/>
      <c r="G38" s="9"/>
    </row>
    <row r="39" spans="1:7">
      <c r="A39" s="9" t="s">
        <v>36</v>
      </c>
      <c r="B39" s="16">
        <f>11</f>
        <v>11.0</v>
      </c>
      <c r="C39" s="10" t="s">
        <v>34</v>
      </c>
      <c r="D39" s="14">
        <f>22000</f>
        <v>22000.0</v>
      </c>
      <c r="E39" s="14">
        <f>0</f>
        <v>0.0</v>
      </c>
      <c r="F39" s="10" t="s">
        <v>69</v>
      </c>
      <c r="G39" s="10" t="s">
        <v>17</v>
      </c>
    </row>
    <row r="40" spans="1:7">
      <c r="A40" s="9" t="s">
        <v>70</v>
      </c>
      <c r="B40" s="16">
        <f>11</f>
        <v>11.0</v>
      </c>
      <c r="C40" s="10" t="s">
        <v>34</v>
      </c>
      <c r="D40" s="14">
        <f>0</f>
        <v>0.0</v>
      </c>
      <c r="E40" s="14">
        <f>22000</f>
        <v>22000.0</v>
      </c>
      <c r="F40" s="10" t="s">
        <v>69</v>
      </c>
      <c r="G40" s="10" t="s">
        <v>17</v>
      </c>
    </row>
    <row r="41" spans="1:7">
      <c r="A41" s="11" t="s">
        <v>71</v>
      </c>
      <c r="B41" s="9"/>
      <c r="C41" s="9"/>
      <c r="D41" s="9"/>
      <c r="E41" s="9"/>
      <c r="F41" s="9"/>
      <c r="G41" s="9"/>
    </row>
    <row r="42" spans="1:7">
      <c r="A42" s="9" t="s">
        <v>72</v>
      </c>
      <c r="B42" s="16">
        <f>12</f>
        <v>12.0</v>
      </c>
      <c r="C42" s="10" t="s">
        <v>34</v>
      </c>
      <c r="D42" s="14">
        <f>0</f>
        <v>0.0</v>
      </c>
      <c r="E42" s="14">
        <f>297526.6022870655</f>
        <v>297526.6022870655</v>
      </c>
      <c r="F42" s="10" t="s">
        <v>73</v>
      </c>
      <c r="G42" s="10" t="s">
        <v>18</v>
      </c>
    </row>
    <row r="43" spans="1:7">
      <c r="A43" s="9" t="s">
        <v>74</v>
      </c>
      <c r="B43" s="16">
        <f>12</f>
        <v>12.0</v>
      </c>
      <c r="C43" s="10" t="s">
        <v>34</v>
      </c>
      <c r="D43" s="14">
        <f>297526.6022870655</f>
        <v>297526.6022870655</v>
      </c>
      <c r="E43" s="14">
        <f>0</f>
        <v>0.0</v>
      </c>
      <c r="F43" s="10" t="s">
        <v>73</v>
      </c>
      <c r="G43" s="10" t="s">
        <v>18</v>
      </c>
    </row>
    <row r="44" spans="1:7">
      <c r="A44" s="11" t="s">
        <v>75</v>
      </c>
      <c r="B44" s="9"/>
      <c r="C44" s="9"/>
      <c r="D44" s="9"/>
      <c r="E44" s="9"/>
      <c r="F44" s="9"/>
      <c r="G44" s="9"/>
    </row>
    <row r="45" spans="1:7">
      <c r="A45" s="9" t="s">
        <v>15</v>
      </c>
      <c r="B45" s="16">
        <f>13</f>
        <v>13.0</v>
      </c>
      <c r="C45" s="10" t="s">
        <v>34</v>
      </c>
      <c r="D45" s="14">
        <f>215000</f>
        <v>215000.0</v>
      </c>
      <c r="E45" s="14">
        <f>0</f>
        <v>0.0</v>
      </c>
      <c r="F45" s="10" t="s">
        <v>76</v>
      </c>
      <c r="G45" s="10" t="s">
        <v>15</v>
      </c>
    </row>
    <row r="46" spans="1:7">
      <c r="A46" s="9" t="s">
        <v>77</v>
      </c>
      <c r="B46" s="16">
        <f>13</f>
        <v>13.0</v>
      </c>
      <c r="C46" s="10" t="s">
        <v>34</v>
      </c>
      <c r="D46" s="14">
        <f>0</f>
        <v>0.0</v>
      </c>
      <c r="E46" s="14">
        <f>215000</f>
        <v>215000.0</v>
      </c>
      <c r="F46" s="10" t="s">
        <v>76</v>
      </c>
      <c r="G46" s="10" t="s">
        <v>15</v>
      </c>
    </row>
    <row r="47" spans="1:7">
      <c r="A47" s="11" t="s">
        <v>78</v>
      </c>
      <c r="B47" s="9"/>
      <c r="C47" s="9"/>
      <c r="D47" s="9"/>
      <c r="E47" s="9"/>
      <c r="F47" s="9"/>
      <c r="G47" s="9"/>
    </row>
    <row r="48" spans="1:7">
      <c r="A48" s="9" t="s">
        <v>36</v>
      </c>
      <c r="B48" s="16">
        <f>14</f>
        <v>14.0</v>
      </c>
      <c r="C48" s="10" t="s">
        <v>34</v>
      </c>
      <c r="D48" s="14">
        <f>100000</f>
        <v>100000.0</v>
      </c>
      <c r="E48" s="14">
        <f>0</f>
        <v>0.0</v>
      </c>
      <c r="F48" s="10" t="s">
        <v>79</v>
      </c>
      <c r="G48" s="10" t="s">
        <v>13</v>
      </c>
    </row>
    <row r="49" spans="1:7">
      <c r="A49" s="9" t="s">
        <v>80</v>
      </c>
      <c r="B49" s="16">
        <f>14</f>
        <v>14.0</v>
      </c>
      <c r="C49" s="10" t="s">
        <v>34</v>
      </c>
      <c r="D49" s="14">
        <f>0</f>
        <v>0.0</v>
      </c>
      <c r="E49" s="14">
        <f>100000</f>
        <v>100000.0</v>
      </c>
      <c r="F49" s="10" t="s">
        <v>79</v>
      </c>
      <c r="G49" s="10" t="s">
        <v>13</v>
      </c>
    </row>
    <row r="50" spans="1:7">
      <c r="A50" s="12" t="s">
        <v>81</v>
      </c>
      <c r="B50" s="13"/>
      <c r="C50" s="10" t="s">
        <v>82</v>
      </c>
      <c r="D50" s="15">
        <f>(D7+D8+D9+D11+D12+D13+D15+D16+D18+D19+D21+D22+D24+D25+D27+D28+D30+D31+D33+D34+D36+D37+D39+D40+D42+D43+D45+D46+D48+D49)</f>
        <v>1702881.3641918276</v>
      </c>
      <c r="E50" s="15">
        <f>(E7+E8+E9+E11+E12+E13+E15+E16+E18+E19+E21+E22+E24+E25+E27+E28+E30+E31+E33+E34+E36+E37+E39+E40+E42+E43+E45+E46+E48+E49)</f>
        <v>1702881.3641918276</v>
      </c>
      <c r="F50" s="10" t="s">
        <v>83</v>
      </c>
      <c r="G50" s="10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</row>
    <row r="2" spans="1:4">
      <c r="A2" s="3" t="s">
        <v>13</v>
      </c>
    </row>
    <row r="3" spans="1:4">
      <c r="A3" s="7" t="s">
        <v>131</v>
      </c>
    </row>
    <row r="5" spans="1:4">
      <c r="A5" s="8"/>
      <c r="B5" s="8" t="s">
        <v>132</v>
      </c>
      <c r="C5" s="8" t="s">
        <v>133</v>
      </c>
      <c r="D5" s="8" t="s">
        <v>134</v>
      </c>
    </row>
    <row r="6" spans="1:4">
      <c r="A6" s="9" t="s">
        <v>135</v>
      </c>
      <c r="B6" s="17">
        <f>'Unadjusted TB'!C15</f>
        <v>0.0</v>
      </c>
      <c r="C6" s="17">
        <f>(('Adjusting Entries'!E9)-0)</f>
        <v>130714.28571428571</v>
      </c>
      <c r="D6" s="14">
        <f>(B6+C6)</f>
        <v>130714.28571428571</v>
      </c>
    </row>
    <row r="7" spans="1:4">
      <c r="A7" s="9" t="s">
        <v>136</v>
      </c>
      <c r="B7" s="17">
        <f>'Unadjusted TB'!C16</f>
        <v>0.0</v>
      </c>
      <c r="C7" s="17">
        <f>(('Adjusting Entries'!E13)-0)</f>
        <v>9999.642857142857</v>
      </c>
      <c r="D7" s="14">
        <f>(B7+C7)</f>
        <v>9999.642857142857</v>
      </c>
    </row>
    <row r="8" spans="1:4">
      <c r="A8" s="9" t="s">
        <v>137</v>
      </c>
      <c r="B8" s="17">
        <f>'Unadjusted TB'!C17</f>
        <v>0.0</v>
      </c>
      <c r="C8" s="17">
        <f>(('Adjusting Entries'!E16)-0)</f>
        <v>300000.0</v>
      </c>
      <c r="D8" s="14">
        <f>(B8+C8)</f>
        <v>300000.0</v>
      </c>
    </row>
    <row r="9" spans="1:4">
      <c r="A9" s="9" t="s">
        <v>138</v>
      </c>
      <c r="B9" s="17">
        <f>'Unadjusted TB'!C18</f>
        <v>0.0</v>
      </c>
      <c r="C9" s="17">
        <f>(('Adjusting Entries'!E19)-0)</f>
        <v>129000.0</v>
      </c>
      <c r="D9" s="14">
        <f>(B9+C9)</f>
        <v>129000.0</v>
      </c>
    </row>
    <row r="10" spans="1:4">
      <c r="A10" s="9" t="s">
        <v>139</v>
      </c>
      <c r="B10" s="17">
        <f>'Unadjusted TB'!C19</f>
        <v>0.0</v>
      </c>
      <c r="C10" s="17">
        <f>(('Adjusting Entries'!E37)-0)</f>
        <v>25312.5</v>
      </c>
      <c r="D10" s="14">
        <f>(B10+C10)</f>
        <v>25312.5</v>
      </c>
    </row>
    <row r="11" spans="1:4">
      <c r="A11" s="9" t="s">
        <v>140</v>
      </c>
      <c r="B11" s="17">
        <f>'Unadjusted TB'!C20</f>
        <v>400000.0</v>
      </c>
      <c r="C11" s="17">
        <f>(0-('Adjusting Entries'!D43))</f>
        <v>-297526.6022870655</v>
      </c>
      <c r="D11" s="14">
        <f>(B11+C11)</f>
        <v>102473.39771293447</v>
      </c>
    </row>
    <row r="12" spans="1:4">
      <c r="A12" s="9" t="s">
        <v>141</v>
      </c>
      <c r="B12" s="17">
        <f>'Unadjusted TB'!C21</f>
        <v>1100000.0</v>
      </c>
      <c r="C12" s="17">
        <f>(('Adjusting Entries'!E49)-0)</f>
        <v>100000.0</v>
      </c>
      <c r="D12" s="14">
        <f>(B12+C12)</f>
        <v>1200000.0</v>
      </c>
    </row>
    <row r="13" spans="1:4">
      <c r="A13" s="9" t="s">
        <v>142</v>
      </c>
      <c r="B13" s="17">
        <f>'Unadjusted TB'!C22</f>
        <v>600000.0</v>
      </c>
      <c r="C13" s="14">
        <f>(0-0)</f>
        <v>0.0</v>
      </c>
      <c r="D13" s="14">
        <f>(B13+C13)</f>
        <v>600000.0</v>
      </c>
    </row>
    <row r="14" spans="1:4">
      <c r="A14" s="9" t="s">
        <v>143</v>
      </c>
      <c r="B14" s="17">
        <f>'Unadjusted TB'!C23</f>
        <v>387500.17371563707</v>
      </c>
      <c r="C14" s="14">
        <f>(0-0)</f>
        <v>0.0</v>
      </c>
      <c r="D14" s="14">
        <f>(B14+C14)</f>
        <v>387500.17371563707</v>
      </c>
    </row>
    <row r="15" spans="1:4">
      <c r="A15" s="12" t="s">
        <v>144</v>
      </c>
      <c r="B15" s="15">
        <f>(B6+B7+B8+B9+B10+B11+B12+B13+B14)</f>
        <v>2487500.173715637</v>
      </c>
      <c r="C15" s="15">
        <f>(C6+C7+C8+C9+C10+C11+C12+C13+C14)</f>
        <v>397499.8262843631</v>
      </c>
      <c r="D15" s="15">
        <f>(D6+D7+D8+D9+D10+D11+D12+D13+D14)</f>
        <v>2885000.0</v>
      </c>
    </row>
    <row r="16" spans="1:4">
      <c r="A16" s="9" t="s">
        <v>145</v>
      </c>
      <c r="B16" s="17">
        <f>(D15-('Adjusted TB'!G15+'Adjusted TB'!G16+'Adjusted TB'!G17+'Adjusted TB'!G18+'Adjusted TB'!G19+'Adjusted TB'!G20+'Adjusted TB'!G21+'Adjusted TB'!G22+'Adjusted TB'!G23))</f>
        <v>0.0</v>
      </c>
      <c r="C16" s="14">
        <f>0</f>
        <v>0.0</v>
      </c>
      <c r="D16" s="14">
        <f>0</f>
        <v>0.0</v>
      </c>
    </row>
    <row r="18" spans="1:4">
      <c r="A18" s="11" t="s">
        <v>146</v>
      </c>
      <c r="B18" s="9"/>
      <c r="C18" s="9"/>
      <c r="D18" s="9"/>
    </row>
    <row r="19" spans="1:4">
      <c r="A19" s="9" t="s">
        <v>147</v>
      </c>
      <c r="B19" s="17">
        <f>'Unadjusted TB'!B10</f>
        <v>786000.0</v>
      </c>
      <c r="C19" s="14">
        <f>0</f>
        <v>0.0</v>
      </c>
      <c r="D19" s="14">
        <f>0</f>
        <v>0.0</v>
      </c>
    </row>
    <row r="20" spans="1:4">
      <c r="A20" s="9" t="s">
        <v>148</v>
      </c>
      <c r="B20" s="14">
        <f>0</f>
        <v>0.0</v>
      </c>
      <c r="C20" s="17">
        <f>'Adjusting Entries'!E22</f>
        <v>65000.0</v>
      </c>
      <c r="D20" s="14">
        <f>0</f>
        <v>0.0</v>
      </c>
    </row>
    <row r="21" spans="1:4">
      <c r="A21" s="12" t="s">
        <v>149</v>
      </c>
      <c r="B21" s="15">
        <f>0</f>
        <v>0.0</v>
      </c>
      <c r="C21" s="15">
        <f>0</f>
        <v>0.0</v>
      </c>
      <c r="D21" s="18">
        <f>('Unadjusted TB'!B10-'Adjusting Entries'!E22)</f>
        <v>721000.0</v>
      </c>
    </row>
    <row r="22" spans="1:4">
      <c r="A22" s="9" t="s">
        <v>150</v>
      </c>
      <c r="B22" s="14">
        <f>0</f>
        <v>0.0</v>
      </c>
      <c r="C22" s="14">
        <f>0</f>
        <v>0.0</v>
      </c>
      <c r="D22" s="17">
        <f>(('Unadjusted TB'!B10-'Adjusting Entries'!E22)-721000)</f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</row>
    <row r="2" spans="1:6">
      <c r="A2" s="3" t="s">
        <v>14</v>
      </c>
    </row>
    <row r="3" spans="1:6">
      <c r="A3" s="7" t="s">
        <v>97</v>
      </c>
    </row>
    <row r="5" spans="1:6">
      <c r="A5" s="8"/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</row>
    <row r="6" spans="1:6">
      <c r="A6" s="9" t="s">
        <v>103</v>
      </c>
      <c r="B6" s="14">
        <f>24000000</f>
        <v>24000000.0</v>
      </c>
      <c r="C6" s="17">
        <f>(13842500-('Adjusting Entries'!D24*0.5))</f>
        <v>13758625.0</v>
      </c>
      <c r="D6" s="17">
        <f>('Adjusting Entries'!D24*0.5)</f>
        <v>83875.0</v>
      </c>
      <c r="E6" s="14">
        <f>(C6+D6)</f>
        <v>13842500.0</v>
      </c>
      <c r="F6" s="14">
        <f>(B6-E6)</f>
        <v>10157500.0</v>
      </c>
    </row>
    <row r="7" spans="1:6">
      <c r="A7" s="9" t="s">
        <v>104</v>
      </c>
      <c r="B7" s="14">
        <f>11000000</f>
        <v>11000000.0</v>
      </c>
      <c r="C7" s="17">
        <f>(4905500-('Adjusting Entries'!D24*0.3))</f>
        <v>4855175.0</v>
      </c>
      <c r="D7" s="17">
        <f>('Adjusting Entries'!D24*0.3)</f>
        <v>50325.0</v>
      </c>
      <c r="E7" s="14">
        <f>(C7+D7)</f>
        <v>4905500.0</v>
      </c>
      <c r="F7" s="14">
        <f>(B7-E7)</f>
        <v>6094500.0</v>
      </c>
    </row>
    <row r="8" spans="1:6">
      <c r="A8" s="9" t="s">
        <v>105</v>
      </c>
      <c r="B8" s="14">
        <f>3200000</f>
        <v>3200000.0</v>
      </c>
      <c r="C8" s="17">
        <f>(762200-('Adjusting Entries'!D24*0.12))</f>
        <v>742070.0</v>
      </c>
      <c r="D8" s="17">
        <f>('Adjusting Entries'!D24*0.12)</f>
        <v>20130.0</v>
      </c>
      <c r="E8" s="14">
        <f>(C8+D8)</f>
        <v>762200.0</v>
      </c>
      <c r="F8" s="14">
        <f>(B8-E8)</f>
        <v>2437800.0</v>
      </c>
    </row>
    <row r="9" spans="1:6">
      <c r="A9" s="9" t="s">
        <v>106</v>
      </c>
      <c r="B9" s="14">
        <f>2100000</f>
        <v>2100000.0</v>
      </c>
      <c r="C9" s="17">
        <f>(474800-('Adjusting Entries'!D24*0.08))</f>
        <v>461380.0</v>
      </c>
      <c r="D9" s="17">
        <f>('Adjusting Entries'!D24*0.08)</f>
        <v>13420.0</v>
      </c>
      <c r="E9" s="14">
        <f>(C9+D9)</f>
        <v>474800.0</v>
      </c>
      <c r="F9" s="14">
        <f>(B9-E9)</f>
        <v>1625200.0</v>
      </c>
    </row>
    <row r="10" spans="1:6">
      <c r="A10" s="12" t="s">
        <v>107</v>
      </c>
      <c r="B10" s="15">
        <f>(B6+B7+B8+B9)</f>
        <v>40300000.0</v>
      </c>
      <c r="C10" s="15">
        <f>(C6+C7+C8+C9)</f>
        <v>19817250.0</v>
      </c>
      <c r="D10" s="15">
        <f>(D6+D7+D8+D9)</f>
        <v>167750.0</v>
      </c>
      <c r="E10" s="15">
        <f>(E6+E7+E8+E9)</f>
        <v>19985000.0</v>
      </c>
      <c r="F10" s="15">
        <f>(F6+F7+F8+F9)</f>
        <v>20315000.0</v>
      </c>
    </row>
    <row r="11" spans="1:6">
      <c r="A11" s="9" t="s">
        <v>163</v>
      </c>
      <c r="B11" s="17">
        <f>(F10-('Adjusted TB'!F12-'Adjusted TB'!G13))</f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</row>
    <row r="2" spans="1:2">
      <c r="A2" s="3" t="s">
        <v>15</v>
      </c>
    </row>
    <row r="3" spans="1:2">
      <c r="A3" s="7" t="s">
        <v>108</v>
      </c>
    </row>
    <row r="5" spans="1:2">
      <c r="A5" s="8"/>
      <c r="B5" s="8" t="s">
        <v>109</v>
      </c>
    </row>
    <row r="6" spans="1:2">
      <c r="A6" s="9" t="s">
        <v>110</v>
      </c>
      <c r="B6" s="17">
        <f>'Unadjusted TB'!B9</f>
        <v>6843000.0</v>
      </c>
    </row>
    <row r="7" spans="1:2">
      <c r="A7" s="9" t="s">
        <v>111</v>
      </c>
      <c r="B7" s="17">
        <f>'Adjusting Entries'!D45</f>
        <v>215000.0</v>
      </c>
    </row>
    <row r="8" spans="1:2">
      <c r="A8" s="11" t="s">
        <v>112</v>
      </c>
      <c r="B8" s="19">
        <f>(B6+B7)</f>
        <v>7058000.0</v>
      </c>
    </row>
    <row r="9" spans="1:2">
      <c r="A9" s="9" t="s">
        <v>113</v>
      </c>
      <c r="B9" s="14">
        <f>7008000</f>
        <v>7008000.0</v>
      </c>
    </row>
    <row r="10" spans="1:2">
      <c r="A10" s="9" t="s">
        <v>114</v>
      </c>
      <c r="B10" s="14">
        <f>(B9-B8)</f>
        <v>-50000.0</v>
      </c>
    </row>
    <row r="11" spans="1:2">
      <c r="A11" s="12" t="s">
        <v>115</v>
      </c>
      <c r="B11" s="15">
        <f>(B8+B10)</f>
        <v>7008000.0</v>
      </c>
    </row>
    <row r="12" spans="1:2">
      <c r="A12" s="9" t="s">
        <v>116</v>
      </c>
      <c r="B12" s="14">
        <f>(B11-B9)</f>
        <v>0.0</v>
      </c>
    </row>
    <row r="14" spans="1:2">
      <c r="A14" s="11" t="s">
        <v>117</v>
      </c>
      <c r="B14" s="9"/>
    </row>
    <row r="15" spans="1:2">
      <c r="A15" s="9" t="s">
        <v>118</v>
      </c>
      <c r="B15" s="17">
        <f>'Unadjusted TB'!B11</f>
        <v>190333.33333333334</v>
      </c>
    </row>
    <row r="16" spans="1:2">
      <c r="A16" s="9" t="s">
        <v>119</v>
      </c>
      <c r="B16" s="17">
        <f>(-'Adjusting Entries'!D30)</f>
        <v>-190333.33333333334</v>
      </c>
    </row>
    <row r="17" spans="1:2">
      <c r="A17" s="12" t="s">
        <v>120</v>
      </c>
      <c r="B17" s="15">
        <f>(B15+B16)</f>
        <v>0.0</v>
      </c>
    </row>
    <row r="18" spans="1:2">
      <c r="A18" s="9" t="s">
        <v>121</v>
      </c>
      <c r="B18" s="17">
        <f>(('Unadjusted TB'!B30+'Adjusting Entries'!D30)-2284000)</f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</row>
    <row r="2" spans="1:2">
      <c r="A2" s="3" t="s">
        <v>16</v>
      </c>
    </row>
    <row r="3" spans="1:2">
      <c r="A3" s="7" t="s">
        <v>122</v>
      </c>
    </row>
    <row r="5" spans="1:2">
      <c r="A5" s="8"/>
      <c r="B5" s="8" t="s">
        <v>109</v>
      </c>
    </row>
    <row r="6" spans="1:2">
      <c r="A6" s="9" t="s">
        <v>123</v>
      </c>
      <c r="B6" s="14">
        <f>2565000</f>
        <v>2565000.0</v>
      </c>
    </row>
    <row r="7" spans="1:2">
      <c r="A7" s="9" t="s">
        <v>124</v>
      </c>
      <c r="B7" s="14">
        <f>142650</f>
        <v>142650.0</v>
      </c>
    </row>
    <row r="8" spans="1:2">
      <c r="A8" s="9" t="s">
        <v>125</v>
      </c>
      <c r="B8" s="14">
        <f>178650</f>
        <v>178650.0</v>
      </c>
    </row>
    <row r="9" spans="1:2">
      <c r="A9" s="11" t="s">
        <v>126</v>
      </c>
      <c r="B9" s="19">
        <f>((B6+B7)-B8)</f>
        <v>2529000.0</v>
      </c>
    </row>
    <row r="10" spans="1:2">
      <c r="A10" s="9" t="s">
        <v>127</v>
      </c>
      <c r="B10" s="17">
        <f>'Unadjusted TB'!B6</f>
        <v>2529245.0</v>
      </c>
    </row>
    <row r="11" spans="1:2">
      <c r="A11" s="9" t="s">
        <v>128</v>
      </c>
      <c r="B11" s="17">
        <f>'Adjusting Entries'!E34</f>
        <v>245.0</v>
      </c>
    </row>
    <row r="12" spans="1:2">
      <c r="A12" s="11" t="s">
        <v>129</v>
      </c>
      <c r="B12" s="19">
        <f>(B10-B11)</f>
        <v>2529000.0</v>
      </c>
    </row>
    <row r="13" spans="1:2">
      <c r="A13" s="12" t="s">
        <v>130</v>
      </c>
      <c r="B13" s="15">
        <f>(B9-B12)</f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0</v>
      </c>
    </row>
    <row r="2" spans="1:2">
      <c r="A2" s="3" t="s">
        <v>17</v>
      </c>
    </row>
    <row r="3" spans="1:2">
      <c r="A3" s="7" t="s">
        <v>164</v>
      </c>
    </row>
    <row r="5" spans="1:2">
      <c r="A5" s="8"/>
      <c r="B5" s="8" t="s">
        <v>109</v>
      </c>
    </row>
    <row r="6" spans="1:2">
      <c r="A6" s="11" t="s">
        <v>165</v>
      </c>
      <c r="B6" s="9"/>
    </row>
    <row r="7" spans="1:2">
      <c r="A7" s="9" t="s">
        <v>166</v>
      </c>
      <c r="B7" s="17">
        <f>('Adjusted TB'!F7*0.6)</f>
        <v>4609905.853458862</v>
      </c>
    </row>
    <row r="8" spans="1:2">
      <c r="A8" s="9" t="s">
        <v>167</v>
      </c>
      <c r="B8" s="17">
        <f>('Adjusted TB'!F7*0.25)</f>
        <v>1920794.1056078593</v>
      </c>
    </row>
    <row r="9" spans="1:2">
      <c r="A9" s="9" t="s">
        <v>168</v>
      </c>
      <c r="B9" s="17">
        <f>('Adjusted TB'!F7*0.08)</f>
        <v>614654.113794515</v>
      </c>
    </row>
    <row r="10" spans="1:2">
      <c r="A10" s="9" t="s">
        <v>169</v>
      </c>
      <c r="B10" s="17">
        <f>('Adjusted TB'!F7*0.04)</f>
        <v>307327.0568972575</v>
      </c>
    </row>
    <row r="11" spans="1:2">
      <c r="A11" s="9" t="s">
        <v>170</v>
      </c>
      <c r="B11" s="17">
        <f>('Adjusted TB'!F7-(B7+B8+B9+B10))</f>
        <v>230495.29267294426</v>
      </c>
    </row>
    <row r="12" spans="1:2">
      <c r="A12" s="11" t="s">
        <v>171</v>
      </c>
      <c r="B12" s="19">
        <f>(B7+B8+B9+B10+B11)</f>
        <v>7683176.422431437</v>
      </c>
    </row>
    <row r="14" spans="1:2">
      <c r="A14" s="11" t="s">
        <v>172</v>
      </c>
      <c r="B14" s="9"/>
    </row>
    <row r="15" spans="1:2">
      <c r="A15" s="9" t="s">
        <v>173</v>
      </c>
      <c r="B15" s="14">
        <f>(B7*0.003)</f>
        <v>13829.717560376586</v>
      </c>
    </row>
    <row r="16" spans="1:2">
      <c r="A16" s="9" t="s">
        <v>174</v>
      </c>
      <c r="B16" s="14">
        <f>(B8*0.01)</f>
        <v>19207.941056078595</v>
      </c>
    </row>
    <row r="17" spans="1:2">
      <c r="A17" s="9" t="s">
        <v>175</v>
      </c>
      <c r="B17" s="14">
        <f>(B9*0.04)</f>
        <v>24586.164551780603</v>
      </c>
    </row>
    <row r="18" spans="1:2">
      <c r="A18" s="9" t="s">
        <v>176</v>
      </c>
      <c r="B18" s="14">
        <f>(B10*0.12)</f>
        <v>36879.2468276709</v>
      </c>
    </row>
    <row r="19" spans="1:2">
      <c r="A19" s="9" t="s">
        <v>177</v>
      </c>
      <c r="B19" s="14">
        <f>(B11*0.35)</f>
        <v>80673.35243553048</v>
      </c>
    </row>
    <row r="20" spans="1:2">
      <c r="A20" s="11" t="s">
        <v>178</v>
      </c>
      <c r="B20" s="19">
        <f>(B15+B16+B17+B18+B19)</f>
        <v>175176.42243143718</v>
      </c>
    </row>
    <row r="22" spans="1:2">
      <c r="A22" s="9" t="s">
        <v>179</v>
      </c>
      <c r="B22" s="17">
        <f>'Adjusted TB'!G8</f>
        <v>175176.42243143683</v>
      </c>
    </row>
    <row r="23" spans="1:2">
      <c r="A23" s="12" t="s">
        <v>180</v>
      </c>
      <c r="B23" s="15">
        <f>(B12-B22)</f>
        <v>7508000.0</v>
      </c>
    </row>
    <row r="24" spans="1:2">
      <c r="A24" s="9" t="s">
        <v>181</v>
      </c>
      <c r="B24" s="14">
        <f>(B23-7508000)</f>
        <v>0.0</v>
      </c>
    </row>
    <row r="25" spans="1:2">
      <c r="A25" s="9" t="s">
        <v>182</v>
      </c>
      <c r="B25" s="14">
        <f>(B20-B22)</f>
        <v>3.4924596548080444e-10</v>
      </c>
    </row>
    <row r="27" spans="1:2">
      <c r="A27" s="11" t="s">
        <v>77</v>
      </c>
      <c r="B27" s="9"/>
    </row>
    <row r="28" spans="1:2">
      <c r="A28" s="9" t="s">
        <v>183</v>
      </c>
      <c r="B28" s="14">
        <f>1850000</f>
        <v>1850000.0</v>
      </c>
    </row>
    <row r="29" spans="1:2">
      <c r="A29" s="9" t="s">
        <v>184</v>
      </c>
      <c r="B29" s="14">
        <f>1240000</f>
        <v>1240000.0</v>
      </c>
    </row>
    <row r="30" spans="1:2">
      <c r="A30" s="9" t="s">
        <v>185</v>
      </c>
      <c r="B30" s="14">
        <f>980000</f>
        <v>980000.0</v>
      </c>
    </row>
    <row r="31" spans="1:2">
      <c r="A31" s="9" t="s">
        <v>186</v>
      </c>
      <c r="B31" s="14">
        <f>875000</f>
        <v>875000.0</v>
      </c>
    </row>
    <row r="32" spans="1:2">
      <c r="A32" s="9" t="s">
        <v>187</v>
      </c>
      <c r="B32" s="17">
        <f>('Adjusted TB'!G14-(B28+B29+B30+B31))</f>
        <v>789000.0</v>
      </c>
    </row>
    <row r="33" spans="1:2">
      <c r="A33" s="12" t="s">
        <v>188</v>
      </c>
      <c r="B33" s="15">
        <f>(B28+B29+B30+B31+B32)</f>
        <v>5734000.0</v>
      </c>
    </row>
    <row r="34" spans="1:2">
      <c r="A34" s="9" t="s">
        <v>189</v>
      </c>
      <c r="B34" s="17">
        <f>(B33-'Adjusted TB'!G14)</f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</row>
    <row r="2" spans="1:7">
      <c r="A2" s="3" t="s">
        <v>151</v>
      </c>
    </row>
    <row r="3" spans="1:7">
      <c r="A3" s="7" t="s">
        <v>152</v>
      </c>
    </row>
    <row r="5" spans="1:7">
      <c r="A5" s="8"/>
      <c r="B5" s="8" t="s">
        <v>153</v>
      </c>
      <c r="C5" s="8" t="s">
        <v>154</v>
      </c>
      <c r="D5" s="8" t="s">
        <v>155</v>
      </c>
      <c r="E5" s="8" t="s">
        <v>156</v>
      </c>
      <c r="F5" s="8" t="s">
        <v>157</v>
      </c>
      <c r="G5" s="8" t="s">
        <v>158</v>
      </c>
    </row>
    <row r="6" spans="1:7">
      <c r="A6" s="9" t="s">
        <v>63</v>
      </c>
      <c r="B6" s="17">
        <f>'Unadjusted TB'!B6</f>
        <v>2529245.0</v>
      </c>
      <c r="C6" s="17">
        <f>'Unadjusted TB'!C6</f>
        <v>0.0</v>
      </c>
      <c r="D6" s="14">
        <f>0</f>
        <v>0.0</v>
      </c>
      <c r="E6" s="17">
        <f>('Adjusting Entries'!E34)</f>
        <v>245.0</v>
      </c>
      <c r="F6" s="14">
        <f>((B6+D6)-E6)</f>
        <v>2529000.0</v>
      </c>
      <c r="G6" s="14">
        <f>0</f>
        <v>0.0</v>
      </c>
    </row>
    <row r="7" spans="1:7">
      <c r="A7" s="9" t="s">
        <v>86</v>
      </c>
      <c r="B7" s="17">
        <f>'Unadjusted TB'!B7</f>
        <v>7683176.422431437</v>
      </c>
      <c r="C7" s="17">
        <f>'Unadjusted TB'!C7</f>
        <v>0.0</v>
      </c>
      <c r="D7" s="14">
        <f>0</f>
        <v>0.0</v>
      </c>
      <c r="E7" s="14">
        <f>0</f>
        <v>0.0</v>
      </c>
      <c r="F7" s="14">
        <f>((B7+D7)-E7)</f>
        <v>7683176.422431437</v>
      </c>
      <c r="G7" s="14">
        <f>0</f>
        <v>0.0</v>
      </c>
    </row>
    <row r="8" spans="1:7">
      <c r="A8" s="9" t="s">
        <v>70</v>
      </c>
      <c r="B8" s="17">
        <f>'Unadjusted TB'!B8</f>
        <v>0.0</v>
      </c>
      <c r="C8" s="17">
        <f>'Unadjusted TB'!C8</f>
        <v>153176.42243143683</v>
      </c>
      <c r="D8" s="14">
        <f>0</f>
        <v>0.0</v>
      </c>
      <c r="E8" s="17">
        <f>('Adjusting Entries'!E40)</f>
        <v>22000.0</v>
      </c>
      <c r="F8" s="14">
        <f>0</f>
        <v>0.0</v>
      </c>
      <c r="G8" s="14">
        <f>((C8+E8)-D8)</f>
        <v>175176.42243143683</v>
      </c>
    </row>
    <row r="9" spans="1:7">
      <c r="A9" s="9" t="s">
        <v>15</v>
      </c>
      <c r="B9" s="17">
        <f>'Unadjusted TB'!B9</f>
        <v>6843000.0</v>
      </c>
      <c r="C9" s="17">
        <f>'Unadjusted TB'!C9</f>
        <v>0.0</v>
      </c>
      <c r="D9" s="17">
        <f>('Adjusting Entries'!D45)</f>
        <v>215000.0</v>
      </c>
      <c r="E9" s="17">
        <f>('Adjusting Entries'!E28)</f>
        <v>50000.0</v>
      </c>
      <c r="F9" s="14">
        <f>((B9+D9)-E9)</f>
        <v>7008000.0</v>
      </c>
      <c r="G9" s="14">
        <f>0</f>
        <v>0.0</v>
      </c>
    </row>
    <row r="10" spans="1:7">
      <c r="A10" s="9" t="s">
        <v>50</v>
      </c>
      <c r="B10" s="17">
        <f>'Unadjusted TB'!B10</f>
        <v>786000.0</v>
      </c>
      <c r="C10" s="17">
        <f>'Unadjusted TB'!C10</f>
        <v>0.0</v>
      </c>
      <c r="D10" s="14">
        <f>0</f>
        <v>0.0</v>
      </c>
      <c r="E10" s="17">
        <f>('Adjusting Entries'!E22)</f>
        <v>65000.0</v>
      </c>
      <c r="F10" s="14">
        <f>((B10+D10)-E10)</f>
        <v>721000.0</v>
      </c>
      <c r="G10" s="14">
        <f>0</f>
        <v>0.0</v>
      </c>
    </row>
    <row r="11" spans="1:7">
      <c r="A11" s="9" t="s">
        <v>60</v>
      </c>
      <c r="B11" s="17">
        <f>'Unadjusted TB'!B11</f>
        <v>190333.33333333334</v>
      </c>
      <c r="C11" s="17">
        <f>'Unadjusted TB'!C11</f>
        <v>0.0</v>
      </c>
      <c r="D11" s="14">
        <f>0</f>
        <v>0.0</v>
      </c>
      <c r="E11" s="17">
        <f>('Adjusting Entries'!E31)</f>
        <v>190333.33333333334</v>
      </c>
      <c r="F11" s="14">
        <f>((B11+D11)-E11)</f>
        <v>0.0</v>
      </c>
      <c r="G11" s="14">
        <f>0</f>
        <v>0.0</v>
      </c>
    </row>
    <row r="12" spans="1:7">
      <c r="A12" s="9" t="s">
        <v>87</v>
      </c>
      <c r="B12" s="17">
        <f>'Unadjusted TB'!B12</f>
        <v>40300000.0</v>
      </c>
      <c r="C12" s="17">
        <f>'Unadjusted TB'!C12</f>
        <v>0.0</v>
      </c>
      <c r="D12" s="14">
        <f>0</f>
        <v>0.0</v>
      </c>
      <c r="E12" s="14">
        <f>0</f>
        <v>0.0</v>
      </c>
      <c r="F12" s="14">
        <f>((B12+D12)-E12)</f>
        <v>40300000.0</v>
      </c>
      <c r="G12" s="14">
        <f>0</f>
        <v>0.0</v>
      </c>
    </row>
    <row r="13" spans="1:7">
      <c r="A13" s="9" t="s">
        <v>54</v>
      </c>
      <c r="B13" s="17">
        <f>'Unadjusted TB'!B13</f>
        <v>0.0</v>
      </c>
      <c r="C13" s="17">
        <f>'Unadjusted TB'!C13</f>
        <v>19817250.0</v>
      </c>
      <c r="D13" s="14">
        <f>0</f>
        <v>0.0</v>
      </c>
      <c r="E13" s="17">
        <f>('Adjusting Entries'!E25)</f>
        <v>167750.0</v>
      </c>
      <c r="F13" s="14">
        <f>0</f>
        <v>0.0</v>
      </c>
      <c r="G13" s="14">
        <f>((C13+E13)-D13)</f>
        <v>19985000.0</v>
      </c>
    </row>
    <row r="14" spans="1:7">
      <c r="A14" s="9" t="s">
        <v>77</v>
      </c>
      <c r="B14" s="17">
        <f>'Unadjusted TB'!B14</f>
        <v>0.0</v>
      </c>
      <c r="C14" s="17">
        <f>'Unadjusted TB'!C14</f>
        <v>5519000.0</v>
      </c>
      <c r="D14" s="14">
        <f>0</f>
        <v>0.0</v>
      </c>
      <c r="E14" s="17">
        <f>('Adjusting Entries'!E46)</f>
        <v>215000.0</v>
      </c>
      <c r="F14" s="14">
        <f>0</f>
        <v>0.0</v>
      </c>
      <c r="G14" s="14">
        <f>((C14+E14)-D14)</f>
        <v>5734000.0</v>
      </c>
    </row>
    <row r="15" spans="1:7">
      <c r="A15" s="9" t="s">
        <v>37</v>
      </c>
      <c r="B15" s="17">
        <f>'Unadjusted TB'!B15</f>
        <v>0.0</v>
      </c>
      <c r="C15" s="17">
        <f>'Unadjusted TB'!C15</f>
        <v>0.0</v>
      </c>
      <c r="D15" s="14">
        <f>0</f>
        <v>0.0</v>
      </c>
      <c r="E15" s="17">
        <f>('Adjusting Entries'!E9)</f>
        <v>130714.28571428571</v>
      </c>
      <c r="F15" s="14">
        <f>0</f>
        <v>0.0</v>
      </c>
      <c r="G15" s="14">
        <f>((C15+E15)-D15)</f>
        <v>130714.28571428571</v>
      </c>
    </row>
    <row r="16" spans="1:7">
      <c r="A16" s="9" t="s">
        <v>40</v>
      </c>
      <c r="B16" s="17">
        <f>'Unadjusted TB'!B16</f>
        <v>0.0</v>
      </c>
      <c r="C16" s="17">
        <f>'Unadjusted TB'!C16</f>
        <v>0.0</v>
      </c>
      <c r="D16" s="14">
        <f>0</f>
        <v>0.0</v>
      </c>
      <c r="E16" s="17">
        <f>('Adjusting Entries'!E13)</f>
        <v>9999.642857142857</v>
      </c>
      <c r="F16" s="14">
        <f>0</f>
        <v>0.0</v>
      </c>
      <c r="G16" s="14">
        <f>((C16+E16)-D16)</f>
        <v>9999.642857142857</v>
      </c>
    </row>
    <row r="17" spans="1:7">
      <c r="A17" s="9" t="s">
        <v>44</v>
      </c>
      <c r="B17" s="17">
        <f>'Unadjusted TB'!B17</f>
        <v>0.0</v>
      </c>
      <c r="C17" s="17">
        <f>'Unadjusted TB'!C17</f>
        <v>0.0</v>
      </c>
      <c r="D17" s="14">
        <f>0</f>
        <v>0.0</v>
      </c>
      <c r="E17" s="17">
        <f>('Adjusting Entries'!E16)</f>
        <v>300000.0</v>
      </c>
      <c r="F17" s="14">
        <f>0</f>
        <v>0.0</v>
      </c>
      <c r="G17" s="14">
        <f>((C17+E17)-D17)</f>
        <v>300000.0</v>
      </c>
    </row>
    <row r="18" spans="1:7">
      <c r="A18" s="9" t="s">
        <v>47</v>
      </c>
      <c r="B18" s="17">
        <f>'Unadjusted TB'!B18</f>
        <v>0.0</v>
      </c>
      <c r="C18" s="17">
        <f>'Unadjusted TB'!C18</f>
        <v>0.0</v>
      </c>
      <c r="D18" s="14">
        <f>0</f>
        <v>0.0</v>
      </c>
      <c r="E18" s="17">
        <f>('Adjusting Entries'!E19)</f>
        <v>129000.0</v>
      </c>
      <c r="F18" s="14">
        <f>0</f>
        <v>0.0</v>
      </c>
      <c r="G18" s="14">
        <f>((C18+E18)-D18)</f>
        <v>129000.0</v>
      </c>
    </row>
    <row r="19" spans="1:7">
      <c r="A19" s="9" t="s">
        <v>67</v>
      </c>
      <c r="B19" s="17">
        <f>'Unadjusted TB'!B19</f>
        <v>0.0</v>
      </c>
      <c r="C19" s="17">
        <f>'Unadjusted TB'!C19</f>
        <v>0.0</v>
      </c>
      <c r="D19" s="14">
        <f>0</f>
        <v>0.0</v>
      </c>
      <c r="E19" s="17">
        <f>('Adjusting Entries'!E37)</f>
        <v>25312.5</v>
      </c>
      <c r="F19" s="14">
        <f>0</f>
        <v>0.0</v>
      </c>
      <c r="G19" s="14">
        <f>((C19+E19)-D19)</f>
        <v>25312.5</v>
      </c>
    </row>
    <row r="20" spans="1:7">
      <c r="A20" s="9" t="s">
        <v>74</v>
      </c>
      <c r="B20" s="17">
        <f>'Unadjusted TB'!B20</f>
        <v>0.0</v>
      </c>
      <c r="C20" s="17">
        <f>'Unadjusted TB'!C20</f>
        <v>400000.0</v>
      </c>
      <c r="D20" s="17">
        <f>('Adjusting Entries'!D43)</f>
        <v>297526.6022870655</v>
      </c>
      <c r="E20" s="14">
        <f>0</f>
        <v>0.0</v>
      </c>
      <c r="F20" s="14">
        <f>0</f>
        <v>0.0</v>
      </c>
      <c r="G20" s="14">
        <f>((C20+E20)-D20)</f>
        <v>102473.39771293447</v>
      </c>
    </row>
    <row r="21" spans="1:7">
      <c r="A21" s="9" t="s">
        <v>80</v>
      </c>
      <c r="B21" s="17">
        <f>'Unadjusted TB'!B21</f>
        <v>0.0</v>
      </c>
      <c r="C21" s="17">
        <f>'Unadjusted TB'!C21</f>
        <v>1100000.0</v>
      </c>
      <c r="D21" s="14">
        <f>0</f>
        <v>0.0</v>
      </c>
      <c r="E21" s="17">
        <f>('Adjusting Entries'!E49)</f>
        <v>100000.0</v>
      </c>
      <c r="F21" s="14">
        <f>0</f>
        <v>0.0</v>
      </c>
      <c r="G21" s="14">
        <f>((C21+E21)-D21)</f>
        <v>1200000.0</v>
      </c>
    </row>
    <row r="22" spans="1:7">
      <c r="A22" s="9" t="s">
        <v>88</v>
      </c>
      <c r="B22" s="17">
        <f>'Unadjusted TB'!B22</f>
        <v>0.0</v>
      </c>
      <c r="C22" s="17">
        <f>'Unadjusted TB'!C22</f>
        <v>600000.0</v>
      </c>
      <c r="D22" s="14">
        <f>0</f>
        <v>0.0</v>
      </c>
      <c r="E22" s="14">
        <f>0</f>
        <v>0.0</v>
      </c>
      <c r="F22" s="14">
        <f>0</f>
        <v>0.0</v>
      </c>
      <c r="G22" s="14">
        <f>((C22+E22)-D22)</f>
        <v>600000.0</v>
      </c>
    </row>
    <row r="23" spans="1:7">
      <c r="A23" s="9" t="s">
        <v>89</v>
      </c>
      <c r="B23" s="17">
        <f>'Unadjusted TB'!B23</f>
        <v>0.0</v>
      </c>
      <c r="C23" s="17">
        <f>'Unadjusted TB'!C23</f>
        <v>387500.17371563707</v>
      </c>
      <c r="D23" s="14">
        <f>0</f>
        <v>0.0</v>
      </c>
      <c r="E23" s="14">
        <f>0</f>
        <v>0.0</v>
      </c>
      <c r="F23" s="14">
        <f>0</f>
        <v>0.0</v>
      </c>
      <c r="G23" s="14">
        <f>((C23+E23)-D23)</f>
        <v>387500.17371563707</v>
      </c>
    </row>
    <row r="24" spans="1:7">
      <c r="A24" s="9" t="s">
        <v>90</v>
      </c>
      <c r="B24" s="17">
        <f>'Unadjusted TB'!B24</f>
        <v>0.0</v>
      </c>
      <c r="C24" s="17">
        <f>'Unadjusted TB'!C24</f>
        <v>0.0</v>
      </c>
      <c r="D24" s="14">
        <f>0</f>
        <v>0.0</v>
      </c>
      <c r="E24" s="14">
        <f>0</f>
        <v>0.0</v>
      </c>
      <c r="F24" s="14">
        <f>0</f>
        <v>0.0</v>
      </c>
      <c r="G24" s="14">
        <f>((C24+E24)-D24)</f>
        <v>0.0</v>
      </c>
    </row>
    <row r="25" spans="1:7">
      <c r="A25" s="9" t="s">
        <v>91</v>
      </c>
      <c r="B25" s="17">
        <f>'Unadjusted TB'!B25</f>
        <v>0.0</v>
      </c>
      <c r="C25" s="17">
        <f>'Unadjusted TB'!C25</f>
        <v>4500000.0</v>
      </c>
      <c r="D25" s="14">
        <f>0</f>
        <v>0.0</v>
      </c>
      <c r="E25" s="14">
        <f>0</f>
        <v>0.0</v>
      </c>
      <c r="F25" s="14">
        <f>0</f>
        <v>0.0</v>
      </c>
      <c r="G25" s="14">
        <f>((C25+E25)-D25)</f>
        <v>4500000.0</v>
      </c>
    </row>
    <row r="26" spans="1:7">
      <c r="A26" s="9" t="s">
        <v>92</v>
      </c>
      <c r="B26" s="17">
        <f>'Unadjusted TB'!B26</f>
        <v>0.0</v>
      </c>
      <c r="C26" s="17">
        <f>'Unadjusted TB'!C26</f>
        <v>6000000.0</v>
      </c>
      <c r="D26" s="14">
        <f>0</f>
        <v>0.0</v>
      </c>
      <c r="E26" s="14">
        <f>0</f>
        <v>0.0</v>
      </c>
      <c r="F26" s="14">
        <f>0</f>
        <v>0.0</v>
      </c>
      <c r="G26" s="14">
        <f>((C26+E26)-D26)</f>
        <v>6000000.0</v>
      </c>
    </row>
    <row r="27" spans="1:7">
      <c r="A27" s="9" t="s">
        <v>93</v>
      </c>
      <c r="B27" s="17">
        <f>'Unadjusted TB'!B27</f>
        <v>0.0</v>
      </c>
      <c r="C27" s="17">
        <f>'Unadjusted TB'!C27</f>
        <v>15368000.0</v>
      </c>
      <c r="D27" s="14">
        <f>0</f>
        <v>0.0</v>
      </c>
      <c r="E27" s="14">
        <f>0</f>
        <v>0.0</v>
      </c>
      <c r="F27" s="14">
        <f>0</f>
        <v>0.0</v>
      </c>
      <c r="G27" s="14">
        <f>((C27+E27)-D27)</f>
        <v>15368000.0</v>
      </c>
    </row>
    <row r="28" spans="1:7">
      <c r="A28" s="9" t="s">
        <v>94</v>
      </c>
      <c r="B28" s="17">
        <f>'Unadjusted TB'!B28</f>
        <v>0.0</v>
      </c>
      <c r="C28" s="17">
        <f>'Unadjusted TB'!C28</f>
        <v>72116000.0</v>
      </c>
      <c r="D28" s="14">
        <f>0</f>
        <v>0.0</v>
      </c>
      <c r="E28" s="14">
        <f>0</f>
        <v>0.0</v>
      </c>
      <c r="F28" s="14">
        <f>0</f>
        <v>0.0</v>
      </c>
      <c r="G28" s="14">
        <f>((C28+E28)-D28)</f>
        <v>72116000.0</v>
      </c>
    </row>
    <row r="29" spans="1:7">
      <c r="A29" s="9" t="s">
        <v>33</v>
      </c>
      <c r="B29" s="17">
        <f>'Unadjusted TB'!B29</f>
        <v>44073615.01504137</v>
      </c>
      <c r="C29" s="17">
        <f>'Unadjusted TB'!C29</f>
        <v>0.0</v>
      </c>
      <c r="D29" s="17">
        <f>('Adjusting Entries'!D7+'Adjusting Entries'!D11+'Adjusting Entries'!D27)</f>
        <v>149384.9849586234</v>
      </c>
      <c r="E29" s="14">
        <f>0</f>
        <v>0.0</v>
      </c>
      <c r="F29" s="14">
        <f>((B29+D29)-E29)</f>
        <v>44223000.0</v>
      </c>
      <c r="G29" s="14">
        <f>0</f>
        <v>0.0</v>
      </c>
    </row>
    <row r="30" spans="1:7">
      <c r="A30" s="9" t="s">
        <v>58</v>
      </c>
      <c r="B30" s="17">
        <f>'Unadjusted TB'!B30</f>
        <v>2093666.6666666667</v>
      </c>
      <c r="C30" s="17">
        <f>'Unadjusted TB'!C30</f>
        <v>0.0</v>
      </c>
      <c r="D30" s="17">
        <f>('Adjusting Entries'!D30)</f>
        <v>190333.33333333334</v>
      </c>
      <c r="E30" s="14">
        <f>0</f>
        <v>0.0</v>
      </c>
      <c r="F30" s="14">
        <f>((B30+D30)-E30)</f>
        <v>2284000.0</v>
      </c>
      <c r="G30" s="14">
        <f>0</f>
        <v>0.0</v>
      </c>
    </row>
    <row r="31" spans="1:7">
      <c r="A31" s="9" t="s">
        <v>42</v>
      </c>
      <c r="B31" s="17">
        <f>'Unadjusted TB'!B31</f>
        <v>8354000.0</v>
      </c>
      <c r="C31" s="17">
        <f>'Unadjusted TB'!C31</f>
        <v>0.0</v>
      </c>
      <c r="D31" s="17">
        <f>('Adjusting Entries'!D15)</f>
        <v>300000.0</v>
      </c>
      <c r="E31" s="14">
        <f>0</f>
        <v>0.0</v>
      </c>
      <c r="F31" s="14">
        <f>((B31+D31)-E31)</f>
        <v>8654000.0</v>
      </c>
      <c r="G31" s="14">
        <f>0</f>
        <v>0.0</v>
      </c>
    </row>
    <row r="32" spans="1:7">
      <c r="A32" s="9" t="s">
        <v>95</v>
      </c>
      <c r="B32" s="17">
        <f>'Unadjusted TB'!B32</f>
        <v>4688000.0</v>
      </c>
      <c r="C32" s="17">
        <f>'Unadjusted TB'!C32</f>
        <v>0.0</v>
      </c>
      <c r="D32" s="14">
        <f>0</f>
        <v>0.0</v>
      </c>
      <c r="E32" s="14">
        <f>0</f>
        <v>0.0</v>
      </c>
      <c r="F32" s="14">
        <f>((B32+D32)-E32)</f>
        <v>4688000.0</v>
      </c>
      <c r="G32" s="14">
        <f>0</f>
        <v>0.0</v>
      </c>
    </row>
    <row r="33" spans="1:7">
      <c r="A33" s="9" t="s">
        <v>36</v>
      </c>
      <c r="B33" s="17">
        <f>'Unadjusted TB'!B33</f>
        <v>4690426.056387194</v>
      </c>
      <c r="C33" s="17">
        <f>'Unadjusted TB'!C33</f>
        <v>0.0</v>
      </c>
      <c r="D33" s="17">
        <f>('Adjusting Entries'!D8+'Adjusting Entries'!D12+'Adjusting Entries'!D18+'Adjusting Entries'!D21+'Adjusting Entries'!D33+'Adjusting Entries'!D39+'Adjusting Entries'!D48)</f>
        <v>357573.9436128052</v>
      </c>
      <c r="E33" s="14">
        <f>0</f>
        <v>0.0</v>
      </c>
      <c r="F33" s="14">
        <f>((B33+D33)-E33)</f>
        <v>5048000.0</v>
      </c>
      <c r="G33" s="14">
        <f>0</f>
        <v>0.0</v>
      </c>
    </row>
    <row r="34" spans="1:7">
      <c r="A34" s="9" t="s">
        <v>52</v>
      </c>
      <c r="B34" s="17">
        <f>'Unadjusted TB'!B34</f>
        <v>1845250.0</v>
      </c>
      <c r="C34" s="17">
        <f>'Unadjusted TB'!C34</f>
        <v>0.0</v>
      </c>
      <c r="D34" s="17">
        <f>('Adjusting Entries'!D24)</f>
        <v>167750.0</v>
      </c>
      <c r="E34" s="14">
        <f>0</f>
        <v>0.0</v>
      </c>
      <c r="F34" s="14">
        <f>((B34+D34)-E34)</f>
        <v>2013000.0</v>
      </c>
      <c r="G34" s="14">
        <f>0</f>
        <v>0.0</v>
      </c>
    </row>
    <row r="35" spans="1:7">
      <c r="A35" s="9" t="s">
        <v>65</v>
      </c>
      <c r="B35" s="17">
        <f>'Unadjusted TB'!B35</f>
        <v>388687.5</v>
      </c>
      <c r="C35" s="17">
        <f>'Unadjusted TB'!C35</f>
        <v>0.0</v>
      </c>
      <c r="D35" s="17">
        <f>('Adjusting Entries'!D36)</f>
        <v>25312.5</v>
      </c>
      <c r="E35" s="14">
        <f>0</f>
        <v>0.0</v>
      </c>
      <c r="F35" s="14">
        <f>((B35+D35)-E35)</f>
        <v>414000.0</v>
      </c>
      <c r="G35" s="14">
        <f>0</f>
        <v>0.0</v>
      </c>
    </row>
    <row r="36" spans="1:7">
      <c r="A36" s="9" t="s">
        <v>72</v>
      </c>
      <c r="B36" s="17">
        <f>'Unadjusted TB'!B36</f>
        <v>1495526.6022870655</v>
      </c>
      <c r="C36" s="17">
        <f>'Unadjusted TB'!C36</f>
        <v>0.0</v>
      </c>
      <c r="D36" s="14">
        <f>0</f>
        <v>0.0</v>
      </c>
      <c r="E36" s="17">
        <f>('Adjusting Entries'!E42)</f>
        <v>297526.6022870655</v>
      </c>
      <c r="F36" s="14">
        <f>((B36+D36)-E36)</f>
        <v>1198000.0</v>
      </c>
      <c r="G36" s="14">
        <f>0</f>
        <v>0.0</v>
      </c>
    </row>
    <row r="37" spans="1:7">
      <c r="A37" s="12" t="s">
        <v>96</v>
      </c>
      <c r="B37" s="15">
        <f>(B6+B7+B8+B9+B10+B11+B12+B13+B14+B15+B16+B17+B18+B19+B20+B21+B22+B23+B24+B25+B26+B27+B28+B29+B30+B31+B32+B33+B34+B35+B36)</f>
        <v>125960926.59614708</v>
      </c>
      <c r="C37" s="15">
        <f>(C6+C7+C8+C9+C10+C11+C12+C13+C14+C15+C16+C17+C18+C19+C20+C21+C22+C23+C24+C25+C26+C27+C28+C29+C30+C31+C32+C33+C34+C35+C36)</f>
        <v>125960926.59614708</v>
      </c>
      <c r="D37" s="15">
        <f>(D6+D7+D8+D9+D10+D11+D12+D13+D14+D15+D16+D17+D18+D19+D20+D21+D22+D23+D24+D25+D26+D27+D28+D29+D30+D31+D32+D33+D34+D35+D36)</f>
        <v>1702881.3641918274</v>
      </c>
      <c r="E37" s="15">
        <f>(E6+E7+E8+E9+E10+E11+E12+E13+E14+E15+E16+E17+E18+E19+E20+E21+E22+E23+E24+E25+E26+E27+E28+E29+E30+E31+E32+E33+E34+E35+E36)</f>
        <v>1702881.3641918274</v>
      </c>
      <c r="F37" s="15">
        <f>(F6+F7+F8+F9+F10+F11+F12+F13+F14+F15+F16+F17+F18+F19+F20+F21+F22+F23+F24+F25+F26+F27+F28+F29+F30+F31+F32+F33+F34+F35+F36)</f>
        <v>126763176.42243144</v>
      </c>
      <c r="G37" s="15">
        <f>(G6+G7+G8+G9+G10+G11+G12+G13+G14+G15+G16+G17+G18+G19+G20+G21+G22+G23+G24+G25+G26+G27+G28+G29+G30+G31+G32+G33+G34+G35+G36)</f>
        <v>126763176.42243144</v>
      </c>
    </row>
    <row r="39" spans="1:7">
      <c r="A39" s="9" t="s">
        <v>159</v>
      </c>
      <c r="B39" s="14">
        <f>(C28-(B29+B30+B31+B32+B33+B34+B35+B36))</f>
        <v>4486828.159617707</v>
      </c>
    </row>
    <row r="40" spans="1:7">
      <c r="A40" s="9" t="s">
        <v>160</v>
      </c>
      <c r="B40" s="14">
        <f>(G28-(F29+F30+F31+F32+F33+F34+F35+F36))</f>
        <v>3594000.0</v>
      </c>
    </row>
    <row r="41" spans="1:7">
      <c r="A41" s="12" t="s">
        <v>161</v>
      </c>
      <c r="B41" s="15">
        <f>(B40-B39)</f>
        <v>-892828.1596177071</v>
      </c>
    </row>
    <row r="42" spans="1:7">
      <c r="A42" s="9" t="s">
        <v>162</v>
      </c>
      <c r="B42" s="20">
        <f>0.2499478406</f>
        <v>0.24994784060087627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pans="1:2">
      <c r="A1" s="1" t="s">
        <v>0</v>
      </c>
    </row>
    <row r="2" spans="1:2">
      <c r="A2" s="3" t="s">
        <v>190</v>
      </c>
    </row>
    <row r="3" spans="1:2">
      <c r="A3" s="7" t="s">
        <v>191</v>
      </c>
    </row>
    <row r="5" spans="1:2">
      <c r="A5" s="8"/>
      <c r="B5" s="8" t="s">
        <v>192</v>
      </c>
    </row>
    <row r="6" spans="1:2">
      <c r="A6" s="11" t="s">
        <v>193</v>
      </c>
      <c r="B6" s="9"/>
    </row>
    <row r="7" spans="1:2">
      <c r="A7" s="9" t="s">
        <v>94</v>
      </c>
      <c r="B7" s="17">
        <f>('Adjusted TB'!G28/1000)</f>
        <v>72116.0</v>
      </c>
    </row>
    <row r="8" spans="1:2">
      <c r="A8" s="9" t="s">
        <v>33</v>
      </c>
      <c r="B8" s="17">
        <f>('Adjusted TB'!F29/1000)</f>
        <v>44223.0</v>
      </c>
    </row>
    <row r="9" spans="1:2">
      <c r="A9" s="9" t="s">
        <v>58</v>
      </c>
      <c r="B9" s="17">
        <f>('Adjusted TB'!F30/1000)</f>
        <v>2284.0</v>
      </c>
    </row>
    <row r="10" spans="1:2">
      <c r="A10" s="11" t="s">
        <v>194</v>
      </c>
      <c r="B10" s="19">
        <f>((B7-B8)-B9)</f>
        <v>25609.0</v>
      </c>
    </row>
    <row r="11" spans="1:2">
      <c r="A11" s="9" t="s">
        <v>42</v>
      </c>
      <c r="B11" s="17">
        <f>('Adjusted TB'!F31/1000)</f>
        <v>8654.0</v>
      </c>
    </row>
    <row r="12" spans="1:2">
      <c r="A12" s="9" t="s">
        <v>95</v>
      </c>
      <c r="B12" s="17">
        <f>('Adjusted TB'!F32/1000)</f>
        <v>4688.0</v>
      </c>
    </row>
    <row r="13" spans="1:2">
      <c r="A13" s="9" t="s">
        <v>36</v>
      </c>
      <c r="B13" s="17">
        <f>('Adjusted TB'!F33/1000)</f>
        <v>5048.0</v>
      </c>
    </row>
    <row r="14" spans="1:2">
      <c r="A14" s="11" t="s">
        <v>195</v>
      </c>
      <c r="B14" s="19">
        <f>(((B10-B11)-B12)-B13)</f>
        <v>7219.0</v>
      </c>
    </row>
    <row r="15" spans="1:2">
      <c r="A15" s="9" t="s">
        <v>52</v>
      </c>
      <c r="B15" s="17">
        <f>('Adjusted TB'!F34/1000)</f>
        <v>2013.0</v>
      </c>
    </row>
    <row r="16" spans="1:2">
      <c r="A16" s="11" t="s">
        <v>196</v>
      </c>
      <c r="B16" s="19">
        <f>(B14-B15)</f>
        <v>5206.0</v>
      </c>
    </row>
    <row r="17" spans="1:2">
      <c r="A17" s="9" t="s">
        <v>65</v>
      </c>
      <c r="B17" s="17">
        <f>('Adjusted TB'!F35/1000)</f>
        <v>414.0</v>
      </c>
    </row>
    <row r="18" spans="1:2">
      <c r="A18" s="11" t="s">
        <v>197</v>
      </c>
      <c r="B18" s="19">
        <f>(B16-B17)</f>
        <v>4792.0</v>
      </c>
    </row>
    <row r="19" spans="1:2">
      <c r="A19" s="9" t="s">
        <v>72</v>
      </c>
      <c r="B19" s="17">
        <f>('Adjusted TB'!F36/1000)</f>
        <v>1198.0</v>
      </c>
    </row>
    <row r="20" spans="1:2">
      <c r="A20" s="12" t="s">
        <v>198</v>
      </c>
      <c r="B20" s="15">
        <f>(B18-B19)</f>
        <v>3594.0</v>
      </c>
    </row>
    <row r="22" spans="1:2">
      <c r="A22" s="11" t="s">
        <v>199</v>
      </c>
      <c r="B22" s="9"/>
    </row>
    <row r="23" spans="1:2">
      <c r="A23" s="9" t="s">
        <v>200</v>
      </c>
      <c r="B23" s="17">
        <f>('Adjusted TB'!F6/1000)</f>
        <v>2529.0</v>
      </c>
    </row>
    <row r="24" spans="1:2">
      <c r="A24" s="9" t="s">
        <v>201</v>
      </c>
      <c r="B24" s="17">
        <f>(('Adjusted TB'!F7-'Adjusted TB'!G8)/1000)</f>
        <v>7508.0</v>
      </c>
    </row>
    <row r="25" spans="1:2">
      <c r="A25" s="9" t="s">
        <v>15</v>
      </c>
      <c r="B25" s="17">
        <f>('Adjusted TB'!F9/1000)</f>
        <v>7008.0</v>
      </c>
    </row>
    <row r="26" spans="1:2">
      <c r="A26" s="9" t="s">
        <v>50</v>
      </c>
      <c r="B26" s="17">
        <f>('Adjusted TB'!F10/1000)</f>
        <v>721.0</v>
      </c>
    </row>
    <row r="27" spans="1:2">
      <c r="A27" s="11" t="s">
        <v>202</v>
      </c>
      <c r="B27" s="19">
        <f>(B23+B24+B25+B26)</f>
        <v>17766.0</v>
      </c>
    </row>
    <row r="28" spans="1:2">
      <c r="A28" s="9" t="s">
        <v>203</v>
      </c>
      <c r="B28" s="17">
        <f>(('Adjusted TB'!F12-'Adjusted TB'!G13)/1000)</f>
        <v>20315.0</v>
      </c>
    </row>
    <row r="29" spans="1:2">
      <c r="A29" s="12" t="s">
        <v>204</v>
      </c>
      <c r="B29" s="15">
        <f>(B27+B28)</f>
        <v>38081.0</v>
      </c>
    </row>
    <row r="30" spans="1:2">
      <c r="A30" s="9" t="s">
        <v>77</v>
      </c>
      <c r="B30" s="17">
        <f>('Adjusted TB'!G14/1000)</f>
        <v>5734.0</v>
      </c>
    </row>
    <row r="31" spans="1:2">
      <c r="A31" s="9" t="s">
        <v>205</v>
      </c>
      <c r="B31" s="17">
        <f>(('Adjusted TB'!G15+'Adjusted TB'!G16+'Adjusted TB'!G17+'Adjusted TB'!G18+'Adjusted TB'!G19+'Adjusted TB'!G20+'Adjusted TB'!G21+'Adjusted TB'!G22+'Adjusted TB'!G23)/1000)</f>
        <v>2885.0</v>
      </c>
    </row>
    <row r="32" spans="1:2">
      <c r="A32" s="11" t="s">
        <v>206</v>
      </c>
      <c r="B32" s="19">
        <f>(B30+B31)</f>
        <v>8619.0</v>
      </c>
    </row>
    <row r="33" spans="1:2">
      <c r="A33" s="9" t="s">
        <v>90</v>
      </c>
      <c r="B33" s="17">
        <f>('Adjusted TB'!G24/1000)</f>
        <v>0.0</v>
      </c>
    </row>
    <row r="34" spans="1:2">
      <c r="A34" s="9" t="s">
        <v>91</v>
      </c>
      <c r="B34" s="17">
        <f>('Adjusted TB'!G25/1000)</f>
        <v>4500.0</v>
      </c>
    </row>
    <row r="35" spans="1:2">
      <c r="A35" s="11" t="s">
        <v>207</v>
      </c>
      <c r="B35" s="19">
        <f>((B32+B33)+B34)</f>
        <v>13119.0</v>
      </c>
    </row>
    <row r="36" spans="1:2">
      <c r="A36" s="9" t="s">
        <v>92</v>
      </c>
      <c r="B36" s="17">
        <f>('Adjusted TB'!G26/1000)</f>
        <v>6000.0</v>
      </c>
    </row>
    <row r="37" spans="1:2">
      <c r="A37" s="9" t="s">
        <v>208</v>
      </c>
      <c r="B37" s="17">
        <f>(('Adjusted TB'!G27/1000)+B20)</f>
        <v>18962.0</v>
      </c>
    </row>
    <row r="38" spans="1:2">
      <c r="A38" s="11" t="s">
        <v>209</v>
      </c>
      <c r="B38" s="19">
        <f>(B36+B37)</f>
        <v>24962.0</v>
      </c>
    </row>
    <row r="39" spans="1:2">
      <c r="A39" s="12" t="s">
        <v>210</v>
      </c>
      <c r="B39" s="15">
        <f>(B35+B38)</f>
        <v>38081.0</v>
      </c>
    </row>
    <row r="41" spans="1:2">
      <c r="A41" s="11" t="s">
        <v>211</v>
      </c>
      <c r="B41" s="9"/>
    </row>
    <row r="42" spans="1:2">
      <c r="A42" s="9" t="s">
        <v>94</v>
      </c>
      <c r="B42" s="17">
        <f>('Adjusted TB'!G28/1)</f>
        <v>72116000.0</v>
      </c>
    </row>
    <row r="43" spans="1:2">
      <c r="A43" s="9" t="s">
        <v>33</v>
      </c>
      <c r="B43" s="17">
        <f>('Adjusted TB'!F29/1)</f>
        <v>44223000.0</v>
      </c>
    </row>
    <row r="44" spans="1:2">
      <c r="A44" s="9" t="s">
        <v>58</v>
      </c>
      <c r="B44" s="17">
        <f>('Adjusted TB'!F30/1)</f>
        <v>2284000.0</v>
      </c>
    </row>
    <row r="45" spans="1:2">
      <c r="A45" s="11" t="s">
        <v>194</v>
      </c>
      <c r="B45" s="19">
        <f>((B42-B43)-B44)</f>
        <v>25609000.0</v>
      </c>
    </row>
    <row r="46" spans="1:2">
      <c r="A46" s="9" t="s">
        <v>42</v>
      </c>
      <c r="B46" s="17">
        <f>('Adjusted TB'!F31/1)</f>
        <v>8654000.0</v>
      </c>
    </row>
    <row r="47" spans="1:2">
      <c r="A47" s="9" t="s">
        <v>95</v>
      </c>
      <c r="B47" s="17">
        <f>('Adjusted TB'!F32/1)</f>
        <v>4688000.0</v>
      </c>
    </row>
    <row r="48" spans="1:2">
      <c r="A48" s="9" t="s">
        <v>36</v>
      </c>
      <c r="B48" s="17">
        <f>('Adjusted TB'!F33/1)</f>
        <v>5048000.0</v>
      </c>
    </row>
    <row r="49" spans="1:2">
      <c r="A49" s="11" t="s">
        <v>195</v>
      </c>
      <c r="B49" s="19">
        <f>(((B45-B46)-B47)-B48)</f>
        <v>7219000.0</v>
      </c>
    </row>
    <row r="50" spans="1:2">
      <c r="A50" s="9" t="s">
        <v>52</v>
      </c>
      <c r="B50" s="17">
        <f>('Adjusted TB'!F34/1)</f>
        <v>2013000.0</v>
      </c>
    </row>
    <row r="51" spans="1:2">
      <c r="A51" s="11" t="s">
        <v>196</v>
      </c>
      <c r="B51" s="19">
        <f>(B49-B50)</f>
        <v>5206000.0</v>
      </c>
    </row>
    <row r="52" spans="1:2">
      <c r="A52" s="9" t="s">
        <v>65</v>
      </c>
      <c r="B52" s="17">
        <f>('Adjusted TB'!F35/1)</f>
        <v>414000.0</v>
      </c>
    </row>
    <row r="53" spans="1:2">
      <c r="A53" s="11" t="s">
        <v>197</v>
      </c>
      <c r="B53" s="19">
        <f>(B51-B52)</f>
        <v>4792000.0</v>
      </c>
    </row>
    <row r="54" spans="1:2">
      <c r="A54" s="9" t="s">
        <v>72</v>
      </c>
      <c r="B54" s="17">
        <f>('Adjusted TB'!F36/1)</f>
        <v>1198000.0</v>
      </c>
    </row>
    <row r="55" spans="1:2">
      <c r="A55" s="12" t="s">
        <v>198</v>
      </c>
      <c r="B55" s="15">
        <f>(B53-B54)</f>
        <v>3594000.0</v>
      </c>
    </row>
    <row r="57" spans="1:2">
      <c r="A57" s="11" t="s">
        <v>212</v>
      </c>
      <c r="B57" s="9"/>
    </row>
    <row r="58" spans="1:2">
      <c r="A58" s="9" t="s">
        <v>200</v>
      </c>
      <c r="B58" s="17">
        <f>('Adjusted TB'!F6/1)</f>
        <v>2529000.0</v>
      </c>
    </row>
    <row r="59" spans="1:2">
      <c r="A59" s="9" t="s">
        <v>201</v>
      </c>
      <c r="B59" s="17">
        <f>(('Adjusted TB'!F7-'Adjusted TB'!G8)/1)</f>
        <v>7508000.0</v>
      </c>
    </row>
    <row r="60" spans="1:2">
      <c r="A60" s="9" t="s">
        <v>15</v>
      </c>
      <c r="B60" s="17">
        <f>('Adjusted TB'!F9/1)</f>
        <v>7008000.0</v>
      </c>
    </row>
    <row r="61" spans="1:2">
      <c r="A61" s="9" t="s">
        <v>50</v>
      </c>
      <c r="B61" s="17">
        <f>('Adjusted TB'!F10/1)</f>
        <v>721000.0</v>
      </c>
    </row>
    <row r="62" spans="1:2">
      <c r="A62" s="11" t="s">
        <v>202</v>
      </c>
      <c r="B62" s="19">
        <f>(B58+B59+B60+B61)</f>
        <v>17766000.0</v>
      </c>
    </row>
    <row r="63" spans="1:2">
      <c r="A63" s="9" t="s">
        <v>203</v>
      </c>
      <c r="B63" s="17">
        <f>(('Adjusted TB'!F12-'Adjusted TB'!G13)/1)</f>
        <v>20315000.0</v>
      </c>
    </row>
    <row r="64" spans="1:2">
      <c r="A64" s="12" t="s">
        <v>204</v>
      </c>
      <c r="B64" s="15">
        <f>(B62+B63)</f>
        <v>38081000.0</v>
      </c>
    </row>
    <row r="65" spans="1:2">
      <c r="A65" s="9" t="s">
        <v>77</v>
      </c>
      <c r="B65" s="17">
        <f>('Adjusted TB'!G14/1)</f>
        <v>5734000.0</v>
      </c>
    </row>
    <row r="66" spans="1:2">
      <c r="A66" s="9" t="s">
        <v>205</v>
      </c>
      <c r="B66" s="17">
        <f>(('Adjusted TB'!G15+'Adjusted TB'!G16+'Adjusted TB'!G17+'Adjusted TB'!G18+'Adjusted TB'!G19+'Adjusted TB'!G20+'Adjusted TB'!G21+'Adjusted TB'!G22+'Adjusted TB'!G23)/1)</f>
        <v>2885000.0</v>
      </c>
    </row>
    <row r="67" spans="1:2">
      <c r="A67" s="11" t="s">
        <v>206</v>
      </c>
      <c r="B67" s="19">
        <f>(B65+B66)</f>
        <v>8619000.0</v>
      </c>
    </row>
    <row r="68" spans="1:2">
      <c r="A68" s="9" t="s">
        <v>90</v>
      </c>
      <c r="B68" s="17">
        <f>('Adjusted TB'!G24/1)</f>
        <v>0.0</v>
      </c>
    </row>
    <row r="69" spans="1:2">
      <c r="A69" s="9" t="s">
        <v>91</v>
      </c>
      <c r="B69" s="17">
        <f>('Adjusted TB'!G25/1)</f>
        <v>4500000.0</v>
      </c>
    </row>
    <row r="70" spans="1:2">
      <c r="A70" s="11" t="s">
        <v>207</v>
      </c>
      <c r="B70" s="19">
        <f>((B67+B68)+B69)</f>
        <v>13119000.0</v>
      </c>
    </row>
    <row r="71" spans="1:2">
      <c r="A71" s="9" t="s">
        <v>92</v>
      </c>
      <c r="B71" s="17">
        <f>('Adjusted TB'!G26/1)</f>
        <v>6000000.0</v>
      </c>
    </row>
    <row r="72" spans="1:2">
      <c r="A72" s="9" t="s">
        <v>208</v>
      </c>
      <c r="B72" s="17">
        <f>(('Adjusted TB'!G27/1)+B55)</f>
        <v>18962000.0</v>
      </c>
    </row>
    <row r="73" spans="1:2">
      <c r="A73" s="11" t="s">
        <v>209</v>
      </c>
      <c r="B73" s="19">
        <f>(B71+B72)</f>
        <v>24962000.0</v>
      </c>
    </row>
    <row r="74" spans="1:2">
      <c r="A74" s="12" t="s">
        <v>210</v>
      </c>
      <c r="B74" s="15">
        <f>(B70+B73)</f>
        <v>38081000.0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1"/>
  <sheetViews>
    <sheetView showGridLines="0" workbookViewId="0"/>
  </sheetViews>
  <sheetFormatPr defaultRowHeight="15"/>
  <cols>
    <col min="1" max="1" width="62.7109375" customWidth="1"/>
    <col min="2" max="4" width="16.7109375" customWidth="1"/>
  </cols>
  <sheetData>
    <row r="1" spans="1:3">
      <c r="A1" s="1" t="s">
        <v>20</v>
      </c>
    </row>
    <row r="3" spans="1:3">
      <c r="A3" s="11" t="s">
        <v>213</v>
      </c>
      <c r="B3" s="11" t="str">
        <f>IF(COUNTIF(C5:C49,"CHECK")=0,"ALL OK","CHECK FAILURES")</f>
        <v>ALL OK</v>
      </c>
    </row>
    <row r="4" spans="1:3">
      <c r="A4" s="8" t="s">
        <v>214</v>
      </c>
      <c r="B4" s="8" t="s">
        <v>215</v>
      </c>
      <c r="C4" s="8" t="s">
        <v>216</v>
      </c>
    </row>
    <row r="5" spans="1:3">
      <c r="A5" s="9" t="s">
        <v>217</v>
      </c>
      <c r="B5" s="14">
        <f>('Unadjusted TB'!B37)-('Unadjusted TB'!C37)</f>
        <v>0.0</v>
      </c>
      <c r="C5" s="9" t="str">
        <f>IF(ABS(B5)&lt;0.5,"OK","CHECK")</f>
        <v>OK</v>
      </c>
    </row>
    <row r="6" spans="1:3">
      <c r="A6" s="9" t="s">
        <v>218</v>
      </c>
      <c r="B6" s="14">
        <f>('Adjusting Entries'!D50)-('Adjusting Entries'!E50)</f>
        <v>0.0</v>
      </c>
      <c r="C6" s="9" t="str">
        <f>IF(ABS(B6)&lt;0.5,"OK","CHECK")</f>
        <v>OK</v>
      </c>
    </row>
    <row r="7" spans="1:3">
      <c r="A7" s="9" t="s">
        <v>219</v>
      </c>
      <c r="B7" s="14">
        <f>('Adjusted TB'!B37)-('Adjusted TB'!C37)</f>
        <v>0.0</v>
      </c>
      <c r="C7" s="9" t="str">
        <f>IF(ABS(B7)&lt;0.5,"OK","CHECK")</f>
        <v>OK</v>
      </c>
    </row>
    <row r="8" spans="1:3">
      <c r="A8" s="9" t="s">
        <v>220</v>
      </c>
      <c r="B8" s="14">
        <f>('Adjusted TB'!D37)-('Adjusted TB'!E37)</f>
        <v>0.0</v>
      </c>
      <c r="C8" s="9" t="str">
        <f>IF(ABS(B8)&lt;0.5,"OK","CHECK")</f>
        <v>OK</v>
      </c>
    </row>
    <row r="9" spans="1:3">
      <c r="A9" s="9" t="s">
        <v>221</v>
      </c>
      <c r="B9" s="14">
        <f>('Adjusted TB'!F37)-('Adjusted TB'!G37)</f>
        <v>0.0</v>
      </c>
      <c r="C9" s="9" t="str">
        <f>IF(ABS(B9)&lt;0.5,"OK","CHECK")</f>
        <v>OK</v>
      </c>
    </row>
    <row r="10" spans="1:3">
      <c r="A10" s="9" t="s">
        <v>222</v>
      </c>
      <c r="B10" s="14">
        <f>('Inventory'!B12)-(0)</f>
        <v>0.0</v>
      </c>
      <c r="C10" s="9" t="str">
        <f>IF(ABS(B10)&lt;0.5,"OK","CHECK")</f>
        <v>OK</v>
      </c>
    </row>
    <row r="11" spans="1:3">
      <c r="A11" s="9" t="s">
        <v>223</v>
      </c>
      <c r="B11" s="14">
        <f>('Inventory'!B18)-(0)</f>
        <v>0.0</v>
      </c>
      <c r="C11" s="9" t="str">
        <f>IF(ABS(B11)&lt;0.5,"OK","CHECK")</f>
        <v>OK</v>
      </c>
    </row>
    <row r="12" spans="1:3">
      <c r="A12" s="9" t="s">
        <v>224</v>
      </c>
      <c r="B12" s="14">
        <f>('Bank Reconciliation'!B13)-(0)</f>
        <v>0.0</v>
      </c>
      <c r="C12" s="9" t="str">
        <f>IF(ABS(B12)&lt;0.5,"OK","CHECK")</f>
        <v>OK</v>
      </c>
    </row>
    <row r="13" spans="1:3">
      <c r="A13" s="9" t="s">
        <v>225</v>
      </c>
      <c r="B13" s="14">
        <f>('Accruals and Prepaids'!B16)-(0)</f>
        <v>0.0</v>
      </c>
      <c r="C13" s="9" t="str">
        <f>IF(ABS(B13)&lt;0.5,"OK","CHECK")</f>
        <v>OK</v>
      </c>
    </row>
    <row r="14" spans="1:3">
      <c r="A14" s="9" t="s">
        <v>226</v>
      </c>
      <c r="B14" s="14">
        <f>('Accruals and Prepaids'!D22)-(0)</f>
        <v>0.0</v>
      </c>
      <c r="C14" s="9" t="str">
        <f>IF(ABS(B14)&lt;0.5,"OK","CHECK")</f>
        <v>OK</v>
      </c>
    </row>
    <row r="15" spans="1:3">
      <c r="A15" s="9" t="s">
        <v>227</v>
      </c>
      <c r="B15" s="14">
        <f>('Fixed Assets'!B11)-(0)</f>
        <v>0.0</v>
      </c>
      <c r="C15" s="9" t="str">
        <f>IF(ABS(B15)&lt;0.5,"OK","CHECK")</f>
        <v>OK</v>
      </c>
    </row>
    <row r="16" spans="1:3">
      <c r="A16" s="9" t="s">
        <v>228</v>
      </c>
      <c r="B16" s="14">
        <f>('Subledgers'!B24)-(0)</f>
        <v>0.0</v>
      </c>
      <c r="C16" s="9" t="str">
        <f>IF(ABS(B16)&lt;0.5,"OK","CHECK")</f>
        <v>OK</v>
      </c>
    </row>
    <row r="17" spans="1:3">
      <c r="A17" s="9" t="s">
        <v>229</v>
      </c>
      <c r="B17" s="14">
        <f>('Subledgers'!B25)-(0)</f>
        <v>3.4924596548080444e-10</v>
      </c>
      <c r="C17" s="9" t="str">
        <f>IF(ABS(B17)&lt;0.5,"OK","CHECK")</f>
        <v>OK</v>
      </c>
    </row>
    <row r="18" spans="1:3">
      <c r="A18" s="9" t="s">
        <v>230</v>
      </c>
      <c r="B18" s="14">
        <f>('Subledgers'!B34)-(0)</f>
        <v>0.0</v>
      </c>
      <c r="C18" s="9" t="str">
        <f>IF(ABS(B18)&lt;0.5,"OK","CHECK")</f>
        <v>OK</v>
      </c>
    </row>
    <row r="19" spans="1:3">
      <c r="A19" s="9" t="s">
        <v>231</v>
      </c>
      <c r="B19" s="14">
        <f>('Statements'!B29)-('Statements'!B39)</f>
        <v>0.0</v>
      </c>
      <c r="C19" s="9" t="str">
        <f>IF(ABS(B19)&lt;0.5,"OK","CHECK")</f>
        <v>OK</v>
      </c>
    </row>
    <row r="20" spans="1:3">
      <c r="A20" s="9" t="s">
        <v>232</v>
      </c>
      <c r="B20" s="14">
        <f>('Statements'!B64)-('Statements'!B74)</f>
        <v>0.0</v>
      </c>
      <c r="C20" s="9" t="str">
        <f>IF(ABS(B20)&lt;0.5,"OK","CHECK")</f>
        <v>OK</v>
      </c>
    </row>
    <row r="21" spans="1:3">
      <c r="A21" s="9" t="s">
        <v>233</v>
      </c>
      <c r="B21" s="14">
        <f>('Statements'!B23)-(2529)</f>
        <v>0.0</v>
      </c>
      <c r="C21" s="9" t="str">
        <f>IF(ABS(B21)&lt;0.5,"OK","CHECK")</f>
        <v>OK</v>
      </c>
    </row>
    <row r="22" spans="1:3">
      <c r="A22" s="9" t="s">
        <v>234</v>
      </c>
      <c r="B22" s="14">
        <f>('Statements'!B24)-(7508)</f>
        <v>0.0</v>
      </c>
      <c r="C22" s="9" t="str">
        <f>IF(ABS(B22)&lt;0.5,"OK","CHECK")</f>
        <v>OK</v>
      </c>
    </row>
    <row r="23" spans="1:3">
      <c r="A23" s="9" t="s">
        <v>235</v>
      </c>
      <c r="B23" s="14">
        <f>('Statements'!B25)-(7008)</f>
        <v>0.0</v>
      </c>
      <c r="C23" s="9" t="str">
        <f>IF(ABS(B23)&lt;0.5,"OK","CHECK")</f>
        <v>OK</v>
      </c>
    </row>
    <row r="24" spans="1:3">
      <c r="A24" s="9" t="s">
        <v>236</v>
      </c>
      <c r="B24" s="14">
        <f>('Statements'!B26)-(721)</f>
        <v>0.0</v>
      </c>
      <c r="C24" s="9" t="str">
        <f>IF(ABS(B24)&lt;0.5,"OK","CHECK")</f>
        <v>OK</v>
      </c>
    </row>
    <row r="25" spans="1:3">
      <c r="A25" s="9" t="s">
        <v>237</v>
      </c>
      <c r="B25" s="14">
        <f>('Statements'!B28)-(20315)</f>
        <v>0.0</v>
      </c>
      <c r="C25" s="9" t="str">
        <f>IF(ABS(B25)&lt;0.5,"OK","CHECK")</f>
        <v>OK</v>
      </c>
    </row>
    <row r="26" spans="1:3">
      <c r="A26" s="9" t="s">
        <v>238</v>
      </c>
      <c r="B26" s="14">
        <f>('Statements'!B30)-(5734)</f>
        <v>0.0</v>
      </c>
      <c r="C26" s="9" t="str">
        <f>IF(ABS(B26)&lt;0.5,"OK","CHECK")</f>
        <v>OK</v>
      </c>
    </row>
    <row r="27" spans="1:3">
      <c r="A27" s="9" t="s">
        <v>239</v>
      </c>
      <c r="B27" s="14">
        <f>('Statements'!B31)-(2885)</f>
        <v>0.0</v>
      </c>
      <c r="C27" s="9" t="str">
        <f>IF(ABS(B27)&lt;0.5,"OK","CHECK")</f>
        <v>OK</v>
      </c>
    </row>
    <row r="28" spans="1:3">
      <c r="A28" s="9" t="s">
        <v>240</v>
      </c>
      <c r="B28" s="14">
        <f>('Statements'!B34)-(4500)</f>
        <v>0.0</v>
      </c>
      <c r="C28" s="9" t="str">
        <f>IF(ABS(B28)&lt;0.5,"OK","CHECK")</f>
        <v>OK</v>
      </c>
    </row>
    <row r="29" spans="1:3">
      <c r="A29" s="9" t="s">
        <v>241</v>
      </c>
      <c r="B29" s="14">
        <f>('Statements'!B7)-(72116)</f>
        <v>0.0</v>
      </c>
      <c r="C29" s="9" t="str">
        <f>IF(ABS(B29)&lt;0.5,"OK","CHECK")</f>
        <v>OK</v>
      </c>
    </row>
    <row r="30" spans="1:3">
      <c r="A30" s="9" t="s">
        <v>242</v>
      </c>
      <c r="B30" s="14">
        <f>('Statements'!B15)-(2013)</f>
        <v>0.0</v>
      </c>
      <c r="C30" s="9" t="str">
        <f>IF(ABS(B30)&lt;0.5,"OK","CHECK")</f>
        <v>OK</v>
      </c>
    </row>
    <row r="31" spans="1:3">
      <c r="A31" s="9" t="s">
        <v>243</v>
      </c>
      <c r="B31" s="14">
        <f>('Statements'!B17)-(414)</f>
        <v>0.0</v>
      </c>
      <c r="C31" s="9" t="str">
        <f>IF(ABS(B31)&lt;0.5,"OK","CHECK")</f>
        <v>OK</v>
      </c>
    </row>
    <row r="32" spans="1:3">
      <c r="A32" s="9" t="s">
        <v>244</v>
      </c>
      <c r="B32" s="14">
        <f>('Statements'!B19)-(1198)</f>
        <v>0.0</v>
      </c>
      <c r="C32" s="9" t="str">
        <f>IF(ABS(B32)&lt;0.5,"OK","CHECK")</f>
        <v>OK</v>
      </c>
    </row>
    <row r="33" spans="1:3">
      <c r="A33" s="9" t="s">
        <v>245</v>
      </c>
      <c r="B33" s="14">
        <f>('Statements'!B20)-(3594)</f>
        <v>0.0</v>
      </c>
      <c r="C33" s="9" t="str">
        <f>IF(ABS(B33)&lt;0.5,"OK","CHECK")</f>
        <v>OK</v>
      </c>
    </row>
    <row r="34" spans="1:3">
      <c r="A34" s="9" t="s">
        <v>246</v>
      </c>
      <c r="B34" s="14">
        <f>('Statements'!B37)-(18962)</f>
        <v>0.0</v>
      </c>
      <c r="C34" s="9" t="str">
        <f>IF(ABS(B34)&lt;0.5,"OK","CHECK")</f>
        <v>OK</v>
      </c>
    </row>
    <row r="35" spans="1:3">
      <c r="A35" s="9" t="s">
        <v>247</v>
      </c>
      <c r="B35" s="14">
        <f>('Statements'!B9)-(2284)</f>
        <v>0.0</v>
      </c>
      <c r="C35" s="9" t="str">
        <f>IF(ABS(B35)&lt;0.5,"OK","CHECK")</f>
        <v>OK</v>
      </c>
    </row>
    <row r="36" spans="1:3">
      <c r="A36" s="9" t="s">
        <v>248</v>
      </c>
      <c r="B36" s="14">
        <f>((D7+D8+D9))-((E7+E8+E9))</f>
        <v>0.0</v>
      </c>
      <c r="C36" s="9" t="str">
        <f>IF(ABS(B36)&lt;0.5,"OK","CHECK")</f>
        <v>OK</v>
      </c>
    </row>
    <row r="37" spans="1:3">
      <c r="A37" s="9" t="s">
        <v>249</v>
      </c>
      <c r="B37" s="14">
        <f>((D11+D12+D13))-((E11+E12+E13))</f>
        <v>0.0</v>
      </c>
      <c r="C37" s="9" t="str">
        <f>IF(ABS(B37)&lt;0.5,"OK","CHECK")</f>
        <v>OK</v>
      </c>
    </row>
    <row r="38" spans="1:3">
      <c r="A38" s="9" t="s">
        <v>250</v>
      </c>
      <c r="B38" s="14">
        <f>((D15+D16))-((E15+E16))</f>
        <v>0.0</v>
      </c>
      <c r="C38" s="9" t="str">
        <f>IF(ABS(B38)&lt;0.5,"OK","CHECK")</f>
        <v>OK</v>
      </c>
    </row>
    <row r="39" spans="1:3">
      <c r="A39" s="9" t="s">
        <v>251</v>
      </c>
      <c r="B39" s="14">
        <f>((D18+D19))-((E18+E19))</f>
        <v>0.0</v>
      </c>
      <c r="C39" s="9" t="str">
        <f>IF(ABS(B39)&lt;0.5,"OK","CHECK")</f>
        <v>OK</v>
      </c>
    </row>
    <row r="40" spans="1:3">
      <c r="A40" s="9" t="s">
        <v>252</v>
      </c>
      <c r="B40" s="14">
        <f>((D21+D22))-((E21+E22))</f>
        <v>0.0</v>
      </c>
      <c r="C40" s="9" t="str">
        <f>IF(ABS(B40)&lt;0.5,"OK","CHECK")</f>
        <v>OK</v>
      </c>
    </row>
    <row r="41" spans="1:3">
      <c r="A41" s="9" t="s">
        <v>253</v>
      </c>
      <c r="B41" s="14">
        <f>((D24+D25))-((E24+E25))</f>
        <v>0.0</v>
      </c>
      <c r="C41" s="9" t="str">
        <f>IF(ABS(B41)&lt;0.5,"OK","CHECK")</f>
        <v>OK</v>
      </c>
    </row>
    <row r="42" spans="1:3">
      <c r="A42" s="9" t="s">
        <v>254</v>
      </c>
      <c r="B42" s="14">
        <f>((D27+D28))-((E27+E28))</f>
        <v>0.0</v>
      </c>
      <c r="C42" s="9" t="str">
        <f>IF(ABS(B42)&lt;0.5,"OK","CHECK")</f>
        <v>OK</v>
      </c>
    </row>
    <row r="43" spans="1:3">
      <c r="A43" s="9" t="s">
        <v>255</v>
      </c>
      <c r="B43" s="14">
        <f>((D30+D31))-((E30+E31))</f>
        <v>0.0</v>
      </c>
      <c r="C43" s="9" t="str">
        <f>IF(ABS(B43)&lt;0.5,"OK","CHECK")</f>
        <v>OK</v>
      </c>
    </row>
    <row r="44" spans="1:3">
      <c r="A44" s="9" t="s">
        <v>256</v>
      </c>
      <c r="B44" s="14">
        <f>((D33+D34))-((E33+E34))</f>
        <v>0.0</v>
      </c>
      <c r="C44" s="9" t="str">
        <f>IF(ABS(B44)&lt;0.5,"OK","CHECK")</f>
        <v>OK</v>
      </c>
    </row>
    <row r="45" spans="1:3">
      <c r="A45" s="9" t="s">
        <v>257</v>
      </c>
      <c r="B45" s="14">
        <f>((D36+D37))-((E36+E37))</f>
        <v>0.0</v>
      </c>
      <c r="C45" s="9" t="str">
        <f>IF(ABS(B45)&lt;0.5,"OK","CHECK")</f>
        <v>OK</v>
      </c>
    </row>
    <row r="46" spans="1:3">
      <c r="A46" s="9" t="s">
        <v>258</v>
      </c>
      <c r="B46" s="14">
        <f>((D39+D40))-((E39+E40))</f>
        <v>0.0</v>
      </c>
      <c r="C46" s="9" t="str">
        <f>IF(ABS(B46)&lt;0.5,"OK","CHECK")</f>
        <v>OK</v>
      </c>
    </row>
    <row r="47" spans="1:3">
      <c r="A47" s="9" t="s">
        <v>259</v>
      </c>
      <c r="B47" s="14">
        <f>((D42+D43))-((E42+E43))</f>
        <v>0.0</v>
      </c>
      <c r="C47" s="9" t="str">
        <f>IF(ABS(B47)&lt;0.5,"OK","CHECK")</f>
        <v>OK</v>
      </c>
    </row>
    <row r="48" spans="1:3">
      <c r="A48" s="9" t="s">
        <v>260</v>
      </c>
      <c r="B48" s="14">
        <f>((D45+D46))-((E45+E46))</f>
        <v>0.0</v>
      </c>
      <c r="C48" s="9" t="str">
        <f>IF(ABS(B48)&lt;0.5,"OK","CHECK")</f>
        <v>OK</v>
      </c>
    </row>
    <row r="49" spans="1:3">
      <c r="A49" s="9" t="s">
        <v>261</v>
      </c>
      <c r="B49" s="14">
        <f>((D48+D49))-((E48+E49))</f>
        <v>0.0</v>
      </c>
      <c r="C49" s="9" t="str">
        <f>IF(ABS(B49)&lt;0.5,"OK","CHECK")</f>
        <v>OK</v>
      </c>
    </row>
    <row r="51" spans="1:3">
      <c r="A51" s="11" t="s">
        <v>262</v>
      </c>
      <c r="B51" s="16">
        <v>45</v>
      </c>
      <c r="C51" s="16">
        <v>45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Close Checklist</vt:lpstr>
      <vt:lpstr>Unadjusted TB</vt:lpstr>
      <vt:lpstr>Adjusting Entries</vt:lpstr>
      <vt:lpstr>Accruals and Prepaids</vt:lpstr>
      <vt:lpstr>Fixed Assets</vt:lpstr>
      <vt:lpstr>Inventory</vt:lpstr>
      <vt:lpstr>Bank Reconciliation</vt:lpstr>
      <vt:lpstr>Subledgers</vt:lpstr>
      <vt:lpstr>Adjusted TB</vt:lpstr>
      <vt:lpstr>Statements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Saltbrush Beverage Co., December 2025 Close</dc:title>
  <dc:subject/>
  <dc:creator>George Murad</dc:creator>
  <cp:keywords/>
  <dc:description/>
  <cp:lastModifiedBy>George Murad</cp:lastModifiedBy>
  <dcterms:created xsi:type="dcterms:W3CDTF">2026-09-28T10:59:20Z</dcterms:created>
  <dcterms:modified xsi:type="dcterms:W3CDTF">2026-09-28T10:59:20Z</dcterms:modified>
</cp:coreProperties>
</file>